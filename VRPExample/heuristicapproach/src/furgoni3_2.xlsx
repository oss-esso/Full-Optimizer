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Edoardo\Documents\EPFL\Full-Optimizer\VRPExample\heuristicapproach\src\"/>
    </mc:Choice>
  </mc:AlternateContent>
  <xr:revisionPtr revIDLastSave="0" documentId="13_ncr:1_{89183A5A-8268-44AD-913A-08E7DBA04C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EGNE" sheetId="1" r:id="rId1"/>
    <sheet name="VEICOLI" sheetId="2" r:id="rId2"/>
    <sheet name="AUTIS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<sst xmlns="http://schemas.openxmlformats.org/spreadsheetml/2006/main" count="2066" uniqueCount="467">
  <si>
    <t>NUMBER PLATE</t>
  </si>
  <si>
    <t>DRIVER</t>
  </si>
  <si>
    <t>LICENSE</t>
  </si>
  <si>
    <t>COST PER HOUR</t>
  </si>
  <si>
    <t>XA359KW</t>
  </si>
  <si>
    <t>Mohamed</t>
  </si>
  <si>
    <t>CE</t>
  </si>
  <si>
    <t>FX192HX</t>
  </si>
  <si>
    <t>Tidian</t>
  </si>
  <si>
    <t>B</t>
  </si>
  <si>
    <t>FX194HX</t>
  </si>
  <si>
    <t>Martinas 1</t>
  </si>
  <si>
    <t>GA620VG</t>
  </si>
  <si>
    <t>Stefan</t>
  </si>
  <si>
    <t>GA621VG</t>
  </si>
  <si>
    <t>Claudio</t>
  </si>
  <si>
    <t>GA625VG</t>
  </si>
  <si>
    <t>Massimo</t>
  </si>
  <si>
    <t>GA630VG</t>
  </si>
  <si>
    <t>Sergio</t>
  </si>
  <si>
    <t>XA356KW</t>
  </si>
  <si>
    <t>Raluca</t>
  </si>
  <si>
    <t>GA637VG</t>
  </si>
  <si>
    <t>Ottavio</t>
  </si>
  <si>
    <t>GA646VG</t>
  </si>
  <si>
    <t>Fabio Paglianiti</t>
  </si>
  <si>
    <t>GA647VG</t>
  </si>
  <si>
    <t>Vece</t>
  </si>
  <si>
    <t>GA649VG</t>
  </si>
  <si>
    <t>Eugenio</t>
  </si>
  <si>
    <t>GC002LX</t>
  </si>
  <si>
    <t>Sorin</t>
  </si>
  <si>
    <t>GC069LX</t>
  </si>
  <si>
    <t>Emanuele</t>
  </si>
  <si>
    <t>GC070LX</t>
  </si>
  <si>
    <t>Giancarlo Zan.</t>
  </si>
  <si>
    <t>C</t>
  </si>
  <si>
    <t>GC079LX</t>
  </si>
  <si>
    <t>Catali</t>
  </si>
  <si>
    <t>GC086LX</t>
  </si>
  <si>
    <t>Modou</t>
  </si>
  <si>
    <t>GE026FZ</t>
  </si>
  <si>
    <t>Daniela</t>
  </si>
  <si>
    <t>GE027FZ</t>
  </si>
  <si>
    <t>Giorgi</t>
  </si>
  <si>
    <t>GE030FZ</t>
  </si>
  <si>
    <t>Nicola</t>
  </si>
  <si>
    <t>GE031FZ</t>
  </si>
  <si>
    <t>Aimad</t>
  </si>
  <si>
    <t>GG355FV</t>
  </si>
  <si>
    <t>Autista1</t>
  </si>
  <si>
    <t>GP339JH</t>
  </si>
  <si>
    <t>Cristian</t>
  </si>
  <si>
    <t>GP340JH</t>
  </si>
  <si>
    <t>Autista2</t>
  </si>
  <si>
    <t>GP507LA</t>
  </si>
  <si>
    <t>Buhan</t>
  </si>
  <si>
    <t>XA819VA</t>
  </si>
  <si>
    <t xml:space="preserve"> Alin</t>
  </si>
  <si>
    <t>GS451PC</t>
  </si>
  <si>
    <t>Dumitru</t>
  </si>
  <si>
    <t>GT715RC</t>
  </si>
  <si>
    <t>Tode</t>
  </si>
  <si>
    <t>GT735RC</t>
  </si>
  <si>
    <t>Nosenzo</t>
  </si>
  <si>
    <t>XA346KW</t>
  </si>
  <si>
    <t>Martinas 2</t>
  </si>
  <si>
    <t>XA345KW</t>
  </si>
  <si>
    <t>Anisoara</t>
  </si>
  <si>
    <t>FF235DM</t>
  </si>
  <si>
    <t>Romea</t>
  </si>
  <si>
    <t>GA622VG</t>
  </si>
  <si>
    <t>Dani</t>
  </si>
  <si>
    <t>GA624VG</t>
  </si>
  <si>
    <t>Adrian</t>
  </si>
  <si>
    <t>GA633VG</t>
  </si>
  <si>
    <t>Arifei</t>
  </si>
  <si>
    <t>GA644VG</t>
  </si>
  <si>
    <t>Giancarlo S.</t>
  </si>
  <si>
    <t>GR124JF</t>
  </si>
  <si>
    <t>Kristy</t>
  </si>
  <si>
    <t>GS178CM</t>
  </si>
  <si>
    <t>Autista3</t>
  </si>
  <si>
    <t>GS452PC</t>
  </si>
  <si>
    <t>Cracara</t>
  </si>
  <si>
    <t>GS453PC</t>
  </si>
  <si>
    <t>Gianni Vantaggiato</t>
  </si>
  <si>
    <t>GT004SW</t>
  </si>
  <si>
    <t>Autista4</t>
  </si>
  <si>
    <t>GT125RB</t>
  </si>
  <si>
    <t>Katalin</t>
  </si>
  <si>
    <t>XA321KW</t>
  </si>
  <si>
    <t>Miu</t>
  </si>
  <si>
    <t>GW855CW</t>
  </si>
  <si>
    <t>Ciro Sorrentino</t>
  </si>
  <si>
    <t>GW862CW</t>
  </si>
  <si>
    <t>Liviu</t>
  </si>
  <si>
    <t>GW863CW</t>
  </si>
  <si>
    <t>Vera</t>
  </si>
  <si>
    <t>GW865CW</t>
  </si>
  <si>
    <t>Panche</t>
  </si>
  <si>
    <t>GW871CW</t>
  </si>
  <si>
    <t>Claudio Massidda</t>
  </si>
  <si>
    <t>GW873CW</t>
  </si>
  <si>
    <t>Made</t>
  </si>
  <si>
    <t>GW877CW</t>
  </si>
  <si>
    <t>Angelo D'amato</t>
  </si>
  <si>
    <t>GW879CW</t>
  </si>
  <si>
    <t>Demo</t>
  </si>
  <si>
    <t>GW880CW</t>
  </si>
  <si>
    <t>Alessandro Perrotta</t>
  </si>
  <si>
    <t>GW882CW</t>
  </si>
  <si>
    <t>Vasile</t>
  </si>
  <si>
    <t>GW883CW</t>
  </si>
  <si>
    <t>Pasquale</t>
  </si>
  <si>
    <t>GW894CW</t>
  </si>
  <si>
    <t>Roberto Rainero</t>
  </si>
  <si>
    <t>TYPE OF VEHICLE</t>
  </si>
  <si>
    <t>MAX LOAD KG</t>
  </si>
  <si>
    <t>PALLET</t>
  </si>
  <si>
    <t>MAX LOAD VOLUME M^3</t>
  </si>
  <si>
    <t>COST PER KM</t>
  </si>
  <si>
    <t>FIXED COST</t>
  </si>
  <si>
    <t>LOADER</t>
  </si>
  <si>
    <t>LOW TEMP</t>
  </si>
  <si>
    <t>LAST IN FIRST OUT</t>
  </si>
  <si>
    <t>HANGERS</t>
  </si>
  <si>
    <t>REGULATIONS</t>
  </si>
  <si>
    <t>FURGONE</t>
  </si>
  <si>
    <t>NO</t>
  </si>
  <si>
    <t>YES</t>
  </si>
  <si>
    <t>CAMION</t>
  </si>
  <si>
    <t>EURO KM</t>
  </si>
  <si>
    <t>KM</t>
  </si>
  <si>
    <t xml:space="preserve">FURGONE FURGONATO </t>
  </si>
  <si>
    <t>BOXATO</t>
  </si>
  <si>
    <t>CENTINA FUGONE</t>
  </si>
  <si>
    <t>FRIGO</t>
  </si>
  <si>
    <t>BOX CON SPONDA</t>
  </si>
  <si>
    <t xml:space="preserve">CENTINA CON SPONDA </t>
  </si>
  <si>
    <t>MOTRICE 7.5</t>
  </si>
  <si>
    <t>BILICO</t>
  </si>
  <si>
    <t>BIGA</t>
  </si>
  <si>
    <t>ORDER</t>
  </si>
  <si>
    <t>COMPANY</t>
  </si>
  <si>
    <t>STREET</t>
  </si>
  <si>
    <t>HOUSE NUMBER</t>
  </si>
  <si>
    <t>CITY</t>
  </si>
  <si>
    <t>PROVINCE</t>
  </si>
  <si>
    <t>POSTAL CODE</t>
  </si>
  <si>
    <t>COUNTRY</t>
  </si>
  <si>
    <t>EARLIEST DAY</t>
  </si>
  <si>
    <t>LATEST DAY</t>
  </si>
  <si>
    <t>TIME WINDOW START</t>
  </si>
  <si>
    <t>TIME WINDOW END</t>
  </si>
  <si>
    <t>SERVICE TIME</t>
  </si>
  <si>
    <t>DELIVERY OR PICKUP</t>
  </si>
  <si>
    <t>LOAD KG</t>
  </si>
  <si>
    <t>LOAD VOLUME M^3</t>
  </si>
  <si>
    <t>DECO</t>
  </si>
  <si>
    <t>VIA DEL LAVORO</t>
  </si>
  <si>
    <t>ASTI</t>
  </si>
  <si>
    <t>AT</t>
  </si>
  <si>
    <t>ITALY</t>
  </si>
  <si>
    <t>21/08/2025</t>
  </si>
  <si>
    <t>22/08/2025</t>
  </si>
  <si>
    <t>PICKUP</t>
  </si>
  <si>
    <t>VIA CARABINIERE ANTONIO FOIS</t>
  </si>
  <si>
    <t>VENTIMIGLIA</t>
  </si>
  <si>
    <t>IM</t>
  </si>
  <si>
    <t>DELIVERY</t>
  </si>
  <si>
    <t>TRENCH ITALIA</t>
  </si>
  <si>
    <t>STRADA CURAGNATA</t>
  </si>
  <si>
    <t>CAIRO MONTENOTTE</t>
  </si>
  <si>
    <t>SV</t>
  </si>
  <si>
    <t>NOVATI</t>
  </si>
  <si>
    <t>VIA COMO</t>
  </si>
  <si>
    <t>MARIANO COMENSE</t>
  </si>
  <si>
    <t>CO</t>
  </si>
  <si>
    <t>BO</t>
  </si>
  <si>
    <t>IPER MONTEBELLO</t>
  </si>
  <si>
    <t>VIA PER BUSTO ARSIZIO</t>
  </si>
  <si>
    <t>SOLBIATE</t>
  </si>
  <si>
    <t>KOSO</t>
  </si>
  <si>
    <t>VIA ISONZO</t>
  </si>
  <si>
    <t>CENEGRATE</t>
  </si>
  <si>
    <t>MI</t>
  </si>
  <si>
    <t>EP</t>
  </si>
  <si>
    <t>SS12</t>
  </si>
  <si>
    <t>OSTIGLIA</t>
  </si>
  <si>
    <t>MN</t>
  </si>
  <si>
    <t xml:space="preserve">DELIVERY </t>
  </si>
  <si>
    <t>DSV</t>
  </si>
  <si>
    <t>VIA DANTE ALIGHIERI</t>
  </si>
  <si>
    <t>PIOLTELLO</t>
  </si>
  <si>
    <t>25/08/2025</t>
  </si>
  <si>
    <t>MANETTI</t>
  </si>
  <si>
    <t>VIA BALDANZESE</t>
  </si>
  <si>
    <t>CALENZANO</t>
  </si>
  <si>
    <t>FI</t>
  </si>
  <si>
    <t>24/08/2025</t>
  </si>
  <si>
    <t>GIVAUDAN</t>
  </si>
  <si>
    <t>VIA ALLA CAFFARELLA</t>
  </si>
  <si>
    <t>CAMPOMORONE</t>
  </si>
  <si>
    <t>GE</t>
  </si>
  <si>
    <t>SIEWERG</t>
  </si>
  <si>
    <t>VIALE A. NOBEL</t>
  </si>
  <si>
    <t>AVIGLIANA</t>
  </si>
  <si>
    <t>TO</t>
  </si>
  <si>
    <t>VIA PROVINCIALE</t>
  </si>
  <si>
    <t>URGNANO</t>
  </si>
  <si>
    <t>BG</t>
  </si>
  <si>
    <t>SAN LORENZO</t>
  </si>
  <si>
    <t>VIA IVREA</t>
  </si>
  <si>
    <t>RIVOLI</t>
  </si>
  <si>
    <t>RACING</t>
  </si>
  <si>
    <t>VIA BAZZANO</t>
  </si>
  <si>
    <t>RONCO SCRIVIA</t>
  </si>
  <si>
    <t>SOGEDIM MESERO 2</t>
  </si>
  <si>
    <t>VIA ENRICO MATTEI</t>
  </si>
  <si>
    <t>MESERO</t>
  </si>
  <si>
    <t>DHL</t>
  </si>
  <si>
    <t>VIA FACCHINETTI</t>
  </si>
  <si>
    <t>VERCELLI</t>
  </si>
  <si>
    <t>VC</t>
  </si>
  <si>
    <t>ALHA</t>
  </si>
  <si>
    <t>VIA MOLINELLI</t>
  </si>
  <si>
    <t>LONATE POZZOLO</t>
  </si>
  <si>
    <t>VA</t>
  </si>
  <si>
    <t>SCHENKER</t>
  </si>
  <si>
    <t>VIA MARCONI</t>
  </si>
  <si>
    <t>RONCELLO</t>
  </si>
  <si>
    <t>MB</t>
  </si>
  <si>
    <t>VIA GIUSEPPE DI VITTORIO</t>
  </si>
  <si>
    <t>PESCHIERA BORROMEO</t>
  </si>
  <si>
    <t xml:space="preserve">PICKUP </t>
  </si>
  <si>
    <t>MALPENSA</t>
  </si>
  <si>
    <t>VIA MONTECCHIO</t>
  </si>
  <si>
    <t>VIZZOLA TICINO</t>
  </si>
  <si>
    <t>DACHSER</t>
  </si>
  <si>
    <t>VIA DEL RISORGIMENTO</t>
  </si>
  <si>
    <t>MONTERONI D'ARBIA</t>
  </si>
  <si>
    <t>SI</t>
  </si>
  <si>
    <t>23/08/2025</t>
  </si>
  <si>
    <t>DR</t>
  </si>
  <si>
    <t>VIA LOMBARDIA</t>
  </si>
  <si>
    <t>PIACENZA</t>
  </si>
  <si>
    <t>PC</t>
  </si>
  <si>
    <t>UNSULAB</t>
  </si>
  <si>
    <t>VIA FLAMINIA KM 186</t>
  </si>
  <si>
    <t>GUALDO TADINO</t>
  </si>
  <si>
    <t>PG</t>
  </si>
  <si>
    <t>26/08/2025</t>
  </si>
  <si>
    <t>GIANINITI</t>
  </si>
  <si>
    <t>VIA FIRENZE</t>
  </si>
  <si>
    <t>VARESE</t>
  </si>
  <si>
    <t>28/08/2025</t>
  </si>
  <si>
    <t>PIQUADRO</t>
  </si>
  <si>
    <t>VIA CANOVA</t>
  </si>
  <si>
    <t>RIOLTA</t>
  </si>
  <si>
    <t>VIA MATTEOTTI</t>
  </si>
  <si>
    <t>MILANO</t>
  </si>
  <si>
    <t>27/08/2025</t>
  </si>
  <si>
    <t xml:space="preserve">VIA DEL LAVORO </t>
  </si>
  <si>
    <t>FRESHWAYS</t>
  </si>
  <si>
    <t>VIA ENRICO FERMI</t>
  </si>
  <si>
    <t>BURAGO DI MOLGORA</t>
  </si>
  <si>
    <t>CITTERIIO</t>
  </si>
  <si>
    <t>VIA CONCORDIA</t>
  </si>
  <si>
    <t>RENATE</t>
  </si>
  <si>
    <t>CONBIPEL</t>
  </si>
  <si>
    <t>20/08/2025</t>
  </si>
  <si>
    <t>VIALE DELL'INDUSTRIA</t>
  </si>
  <si>
    <t>AVERIO</t>
  </si>
  <si>
    <t>VIA PADRE CERIANI</t>
  </si>
  <si>
    <t>CORBETTA</t>
  </si>
  <si>
    <t>VIA FILIPPO AIRENTI</t>
  </si>
  <si>
    <t>IMPERIA</t>
  </si>
  <si>
    <t>INVERNIZZI</t>
  </si>
  <si>
    <t>VIA DEL LAVORO 82 ASTI</t>
  </si>
  <si>
    <t xml:space="preserve"> ASTI</t>
  </si>
  <si>
    <t>MAXI</t>
  </si>
  <si>
    <t>VIA CESARE LIBANO</t>
  </si>
  <si>
    <t>VIA BARTOLINO DA NOVARA</t>
  </si>
  <si>
    <t xml:space="preserve">NOVARA </t>
  </si>
  <si>
    <t>AKYASE</t>
  </si>
  <si>
    <t>VIA VILLANOVA</t>
  </si>
  <si>
    <t>PORDENONE</t>
  </si>
  <si>
    <t>PN</t>
  </si>
  <si>
    <t>PENTAGON</t>
  </si>
  <si>
    <t>VIA AURELIO NICOLODI</t>
  </si>
  <si>
    <t>LINATE</t>
  </si>
  <si>
    <t>VIA ENRICO FORLANINI</t>
  </si>
  <si>
    <t>SEGRATE</t>
  </si>
  <si>
    <t>MILESTONE</t>
  </si>
  <si>
    <t>CORSO EUROPA UNITA</t>
  </si>
  <si>
    <t>SCANO AL BREMBO</t>
  </si>
  <si>
    <t>VIVANTES</t>
  </si>
  <si>
    <t>RUDOWER STRASSE</t>
  </si>
  <si>
    <t>BERLIN</t>
  </si>
  <si>
    <t>GERMANY</t>
  </si>
  <si>
    <t>AUCHAN</t>
  </si>
  <si>
    <t>CURNO</t>
  </si>
  <si>
    <t>VIA GUZZANICA</t>
  </si>
  <si>
    <t>STEZZANO</t>
  </si>
  <si>
    <t>BENNET</t>
  </si>
  <si>
    <t>VIA EMILIA</t>
  </si>
  <si>
    <t>SAN GIULIANO MILANESE</t>
  </si>
  <si>
    <t>DGF</t>
  </si>
  <si>
    <t>FREESOLAR</t>
  </si>
  <si>
    <t>LOCALITà DOLINA</t>
  </si>
  <si>
    <t>SAN DORLINGO DELLA VALLE</t>
  </si>
  <si>
    <t>TS</t>
  </si>
  <si>
    <t>ENDURANCE</t>
  </si>
  <si>
    <t>VIA REGIONE POZZO</t>
  </si>
  <si>
    <t>MONTEGIOVE</t>
  </si>
  <si>
    <t>PUNCH</t>
  </si>
  <si>
    <t>BD SOLIDARITé</t>
  </si>
  <si>
    <t>METZ</t>
  </si>
  <si>
    <t>FRANCE</t>
  </si>
  <si>
    <t>VIA FRATELLI BONAUDO</t>
  </si>
  <si>
    <t>CHIVASSO</t>
  </si>
  <si>
    <t>RIVERA</t>
  </si>
  <si>
    <t>VIA BARTOLOMEO PARODI</t>
  </si>
  <si>
    <t>CERANESI</t>
  </si>
  <si>
    <t>BARBERINO</t>
  </si>
  <si>
    <t>SEAC</t>
  </si>
  <si>
    <t>VIA DOMENICO NORERO</t>
  </si>
  <si>
    <t>SAN COLOMBANO CERTENOLI</t>
  </si>
  <si>
    <t>TAZZARI</t>
  </si>
  <si>
    <t>CM</t>
  </si>
  <si>
    <t>VIA MAGLIO ANTICO</t>
  </si>
  <si>
    <t>OGLIANICO</t>
  </si>
  <si>
    <t>WBS</t>
  </si>
  <si>
    <t>VIALE DEI MARIESCHI</t>
  </si>
  <si>
    <t>AIMONE</t>
  </si>
  <si>
    <t>VIA LUIGI PIRANDELLO</t>
  </si>
  <si>
    <t>TORINO</t>
  </si>
  <si>
    <t>ZALANDO</t>
  </si>
  <si>
    <t>NOGAROLE ROCCA</t>
  </si>
  <si>
    <t>VIA DE GASPERI</t>
  </si>
  <si>
    <t>VR</t>
  </si>
  <si>
    <t>INFELLI</t>
  </si>
  <si>
    <t>VIA DELLA CORONA BOREALE</t>
  </si>
  <si>
    <t>FIUMICINO</t>
  </si>
  <si>
    <t>RM</t>
  </si>
  <si>
    <t>AUSTRIA</t>
  </si>
  <si>
    <t>GEWERBESTRASSE</t>
  </si>
  <si>
    <t>PARNDORF</t>
  </si>
  <si>
    <t>MLP</t>
  </si>
  <si>
    <t>RUE DE LA PLAINE</t>
  </si>
  <si>
    <t>VILLABé</t>
  </si>
  <si>
    <t>CINISELLO BALSAMO</t>
  </si>
  <si>
    <t>VIA BETTOLA</t>
  </si>
  <si>
    <t>SODIP</t>
  </si>
  <si>
    <t>IEMOLI</t>
  </si>
  <si>
    <t>TURATE</t>
  </si>
  <si>
    <t>ICOSTRA</t>
  </si>
  <si>
    <t>VIA BRAIE</t>
  </si>
  <si>
    <t>CAMPOROSSO</t>
  </si>
  <si>
    <t>GIACALA</t>
  </si>
  <si>
    <t>VIA SANTI</t>
  </si>
  <si>
    <t>NICHELINO</t>
  </si>
  <si>
    <t>MOLE</t>
  </si>
  <si>
    <t>VIA PINEROLO</t>
  </si>
  <si>
    <t>NONE</t>
  </si>
  <si>
    <t>BAULI</t>
  </si>
  <si>
    <t>VIA G. VERDI</t>
  </si>
  <si>
    <t>CASTEL D'AZZANO</t>
  </si>
  <si>
    <t>PPG</t>
  </si>
  <si>
    <t>VIA SERRA</t>
  </si>
  <si>
    <t>QUATTORDIO</t>
  </si>
  <si>
    <t>AL</t>
  </si>
  <si>
    <t>BULLONERIA</t>
  </si>
  <si>
    <t>VIA DEI TRASPORTI</t>
  </si>
  <si>
    <t>CHIUSA DI GINESTRETO</t>
  </si>
  <si>
    <t>PU</t>
  </si>
  <si>
    <t>ELANTAS</t>
  </si>
  <si>
    <t>VIA SAN MARTINO</t>
  </si>
  <si>
    <t>MOTEUR</t>
  </si>
  <si>
    <t>BD MARCELLIN LEROY</t>
  </si>
  <si>
    <t>ANGOULêME</t>
  </si>
  <si>
    <t>SW</t>
  </si>
  <si>
    <t>GC</t>
  </si>
  <si>
    <t>PRATO</t>
  </si>
  <si>
    <t>VIA DEI GONFIENTI</t>
  </si>
  <si>
    <t>MORI</t>
  </si>
  <si>
    <t>VIA CASSIA</t>
  </si>
  <si>
    <t>CALZAIOLO</t>
  </si>
  <si>
    <t>FONTANAFREDDA</t>
  </si>
  <si>
    <t>VIA ALBA</t>
  </si>
  <si>
    <t>SERRALUNGA D'ALBA</t>
  </si>
  <si>
    <t>CN</t>
  </si>
  <si>
    <t>NANNI</t>
  </si>
  <si>
    <t>LAMBO</t>
  </si>
  <si>
    <t>VIA F. LAMBORGINI</t>
  </si>
  <si>
    <t>SANT'AGATA BOLOGNESE</t>
  </si>
  <si>
    <t>WESTPORT</t>
  </si>
  <si>
    <t>VIA MOGLIA</t>
  </si>
  <si>
    <t>CHERASCO</t>
  </si>
  <si>
    <t>HAIER</t>
  </si>
  <si>
    <t>CONNECT</t>
  </si>
  <si>
    <t>VIA PIOVENE</t>
  </si>
  <si>
    <t>CHIUPPANO</t>
  </si>
  <si>
    <t>VI</t>
  </si>
  <si>
    <t>SAN GIOVANNI AL NATISONE</t>
  </si>
  <si>
    <t>UD</t>
  </si>
  <si>
    <t>ALDO ROMEO</t>
  </si>
  <si>
    <t>VIA PRIMA STRADA</t>
  </si>
  <si>
    <t>PADOVA</t>
  </si>
  <si>
    <t>PD</t>
  </si>
  <si>
    <t>GOTTARDO</t>
  </si>
  <si>
    <t>CORSO SPAGNA</t>
  </si>
  <si>
    <t>NIED</t>
  </si>
  <si>
    <t>LIEBHERR</t>
  </si>
  <si>
    <t>VIA LIVORNESE</t>
  </si>
  <si>
    <t>SAN PIERO A GRADO</t>
  </si>
  <si>
    <t>PI</t>
  </si>
  <si>
    <t>FREDIANI</t>
  </si>
  <si>
    <t>SESTO SAN GIOVANNI</t>
  </si>
  <si>
    <t>TCS</t>
  </si>
  <si>
    <t>VIA PASUBIO</t>
  </si>
  <si>
    <t>VAREDO</t>
  </si>
  <si>
    <t>VIA ANDREA SANSOVINO</t>
  </si>
  <si>
    <t>INTERPORTO</t>
  </si>
  <si>
    <t>STRADA COMUNALE SAVONESA</t>
  </si>
  <si>
    <t>TORTONA</t>
  </si>
  <si>
    <t>GEODIS</t>
  </si>
  <si>
    <t>VIA MAURA PONTI</t>
  </si>
  <si>
    <t>COPIANO</t>
  </si>
  <si>
    <t>PV</t>
  </si>
  <si>
    <t>MIA</t>
  </si>
  <si>
    <t>VIA NAZIONALE</t>
  </si>
  <si>
    <t>CAMBIANO</t>
  </si>
  <si>
    <t>ORAZIO</t>
  </si>
  <si>
    <t>VIA GUIDO RENI</t>
  </si>
  <si>
    <t>EUROSPIN</t>
  </si>
  <si>
    <t>CORSO SUSA</t>
  </si>
  <si>
    <t>VIA MANTOVA</t>
  </si>
  <si>
    <t>LONATO DEL GARDA</t>
  </si>
  <si>
    <t>BS</t>
  </si>
  <si>
    <t>OSTERIA PORTO D'OGLIO</t>
  </si>
  <si>
    <t>VIA ROMA</t>
  </si>
  <si>
    <t>VILLACHIARA</t>
  </si>
  <si>
    <t>GIGANTE</t>
  </si>
  <si>
    <t>VIA VITTORIO VENETO</t>
  </si>
  <si>
    <t>PIANENGO</t>
  </si>
  <si>
    <t>CR</t>
  </si>
  <si>
    <t>FIPPI</t>
  </si>
  <si>
    <t>RHO</t>
  </si>
  <si>
    <t>GS</t>
  </si>
  <si>
    <t>VIA MARCO BIAGI</t>
  </si>
  <si>
    <t>RIVALTA DI TORINO</t>
  </si>
  <si>
    <t>CIAM</t>
  </si>
  <si>
    <t>VIA RICCARDO MANTERO</t>
  </si>
  <si>
    <t>GRANDATE</t>
  </si>
  <si>
    <t>VIA GEROLAMO PORTA</t>
  </si>
  <si>
    <t>CHIASSO</t>
  </si>
  <si>
    <t>SWITZERLAND</t>
  </si>
  <si>
    <t xml:space="preserve">SC </t>
  </si>
  <si>
    <t>OLTNERSTRASSE</t>
  </si>
  <si>
    <t>HAGENDORF</t>
  </si>
  <si>
    <t>LEONE</t>
  </si>
  <si>
    <t>KING</t>
  </si>
  <si>
    <t>VIA MODIGLIANI</t>
  </si>
  <si>
    <t>SENIGALLIA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</si>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</sst>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409]h:mm\ AM/PM;@"/>
  </numFmts>
  <fonts count="10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sz val="11"/>
      <color rgb="FFD883FF"/>
      <name val="Aptos Narrow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color rgb="FFD883FF"/>
      <name val="Aptos Narrow (Body)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90545E"/>
      </patternFill>
    </fill>
    <fill>
      <patternFill patternType="solid">
        <fgColor rgb="FF76D6FF"/>
      </patternFill>
    </fill>
    <fill>
      <patternFill patternType="solid">
        <fgColor rgb="FFFF8AD8"/>
      </patternFill>
    </fill>
    <fill>
      <patternFill patternType="solid">
        <fgColor rgb="FFFF9300"/>
      </patternFill>
    </fill>
    <fill>
      <patternFill patternType="solid">
        <fgColor rgb="FF7A81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0" fillId="0" borderId="0" xfId="0" applyNumberForma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4" fontId="0" fillId="0" borderId="0" xfId="0" applyNumberFormat="1"/>
    <xf numFmtId="0" fontId="2" fillId="3" borderId="2" xfId="0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1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left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69"/>
  <sheetViews>
    <sheetView tabSelected="1" workbookViewId="0">
      <pane ySplit="1" topLeftCell="A122" activePane="bottomLeft" state="frozen"/>
      <selection pane="bottomLeft" activeCell="A149" sqref="A149"/>
    </sheetView>
  </sheetViews>
  <sheetFormatPr defaultRowHeight="14.5"/>
  <cols>
    <col min="1" max="1" width="15.453125" style="10" bestFit="1" customWidth="1"/>
    <col min="2" max="2" width="28.81640625" bestFit="1" customWidth="1"/>
    <col min="3" max="3" width="41.81640625" bestFit="1" customWidth="1"/>
    <col min="4" max="4" width="27" style="10" bestFit="1" customWidth="1"/>
    <col min="5" max="5" width="29.453125" bestFit="1" customWidth="1"/>
    <col min="6" max="6" width="21.81640625" bestFit="1" customWidth="1"/>
    <col min="7" max="7" width="28.81640625" style="45" bestFit="1" customWidth="1"/>
    <col min="8" max="8" width="24" bestFit="1" customWidth="1"/>
    <col min="9" max="9" width="27.54296875" style="46" bestFit="1" customWidth="1"/>
    <col min="10" max="10" width="21.453125" style="46" bestFit="1" customWidth="1"/>
    <col min="11" max="11" width="27.54296875" style="51" bestFit="1" customWidth="1"/>
    <col min="12" max="12" width="23" style="51" bestFit="1" customWidth="1"/>
    <col min="13" max="13" width="20.453125" style="10" bestFit="1" customWidth="1"/>
    <col min="14" max="14" width="13.453125" bestFit="1" customWidth="1"/>
    <col min="15" max="15" width="18.54296875" style="10" bestFit="1" customWidth="1"/>
    <col min="16" max="16" width="22.81640625" style="10" bestFit="1" customWidth="1"/>
    <col min="17" max="17" width="18.54296875" style="10" bestFit="1" customWidth="1"/>
    <col min="18" max="18" width="18.54296875" bestFit="1" customWidth="1"/>
    <col min="19" max="19" width="16.453125" bestFit="1" customWidth="1"/>
    <col min="20" max="20" width="15.453125" bestFit="1" customWidth="1"/>
    <col min="21" max="21" width="13.54296875" bestFit="1" customWidth="1"/>
  </cols>
  <sheetData>
    <row r="1" spans="1:21" ht="18.75" customHeight="1">
      <c r="A1" s="2" t="s">
        <v>143</v>
      </c>
      <c r="B1" s="1" t="s">
        <v>144</v>
      </c>
      <c r="C1" s="1" t="s">
        <v>145</v>
      </c>
      <c r="D1" s="2" t="s">
        <v>146</v>
      </c>
      <c r="E1" s="1" t="s">
        <v>147</v>
      </c>
      <c r="F1" s="1" t="s">
        <v>148</v>
      </c>
      <c r="G1" s="31" t="s">
        <v>149</v>
      </c>
      <c r="H1" s="1" t="s">
        <v>150</v>
      </c>
      <c r="I1" s="32" t="s">
        <v>151</v>
      </c>
      <c r="J1" s="32" t="s">
        <v>152</v>
      </c>
      <c r="K1" s="47" t="s">
        <v>153</v>
      </c>
      <c r="L1" s="47" t="s">
        <v>154</v>
      </c>
      <c r="M1" s="2" t="s">
        <v>155</v>
      </c>
      <c r="N1" s="1" t="s">
        <v>156</v>
      </c>
      <c r="O1" s="2" t="s">
        <v>157</v>
      </c>
      <c r="P1" s="2" t="s">
        <v>158</v>
      </c>
      <c r="Q1" s="2" t="s">
        <v>119</v>
      </c>
      <c r="R1" s="33" t="s">
        <v>124</v>
      </c>
      <c r="S1" s="1" t="s">
        <v>123</v>
      </c>
      <c r="T1" s="1" t="s">
        <v>126</v>
      </c>
    </row>
    <row r="2" spans="1:21" ht="18.75" customHeight="1">
      <c r="A2" s="4">
        <v>1</v>
      </c>
      <c r="B2" s="34" t="s">
        <v>159</v>
      </c>
      <c r="C2" s="20" t="s">
        <v>160</v>
      </c>
      <c r="D2" s="35">
        <v>82</v>
      </c>
      <c r="E2" s="20" t="s">
        <v>161</v>
      </c>
      <c r="F2" s="20" t="s">
        <v>162</v>
      </c>
      <c r="G2" s="36">
        <v>14100</v>
      </c>
      <c r="H2" s="34" t="s">
        <v>163</v>
      </c>
      <c r="I2" s="37" t="s">
        <v>164</v>
      </c>
      <c r="J2" s="37" t="s">
        <v>165</v>
      </c>
      <c r="K2" s="48">
        <v>0</v>
      </c>
      <c r="L2" s="48">
        <v>0.99930555555555556</v>
      </c>
      <c r="M2" s="35">
        <v>30</v>
      </c>
      <c r="N2" s="34" t="s">
        <v>166</v>
      </c>
      <c r="O2" s="35">
        <v>346</v>
      </c>
      <c r="P2" s="38">
        <v>0.96</v>
      </c>
      <c r="Q2" s="35">
        <v>1</v>
      </c>
      <c r="R2" s="20" t="s">
        <v>129</v>
      </c>
      <c r="S2" s="34" t="s">
        <v>129</v>
      </c>
      <c r="T2" s="34" t="s">
        <v>129</v>
      </c>
      <c r="U2" s="20"/>
    </row>
    <row r="3" spans="1:21" ht="18.75" customHeight="1">
      <c r="A3" s="4">
        <v>1</v>
      </c>
      <c r="B3" s="20" t="s">
        <v>159</v>
      </c>
      <c r="C3" s="20" t="s">
        <v>167</v>
      </c>
      <c r="D3" s="4">
        <v>4</v>
      </c>
      <c r="E3" s="20" t="s">
        <v>168</v>
      </c>
      <c r="F3" s="20" t="s">
        <v>169</v>
      </c>
      <c r="G3" s="39">
        <v>18039</v>
      </c>
      <c r="H3" s="34" t="s">
        <v>163</v>
      </c>
      <c r="I3" s="37" t="s">
        <v>164</v>
      </c>
      <c r="J3" s="37" t="s">
        <v>165</v>
      </c>
      <c r="K3" s="48">
        <v>0</v>
      </c>
      <c r="L3" s="48">
        <v>0.75</v>
      </c>
      <c r="M3" s="35">
        <v>30</v>
      </c>
      <c r="N3" s="20" t="s">
        <v>170</v>
      </c>
      <c r="O3" s="4">
        <v>346</v>
      </c>
      <c r="P3" s="17">
        <v>0.96</v>
      </c>
      <c r="Q3" s="4">
        <v>1</v>
      </c>
      <c r="R3" s="20" t="s">
        <v>129</v>
      </c>
      <c r="S3" s="20" t="s">
        <v>129</v>
      </c>
      <c r="T3" s="34" t="s">
        <v>129</v>
      </c>
      <c r="U3" s="20"/>
    </row>
    <row r="4" spans="1:21" ht="18.75" customHeight="1">
      <c r="A4" s="4">
        <v>2</v>
      </c>
      <c r="B4" s="34" t="s">
        <v>171</v>
      </c>
      <c r="C4" s="20" t="s">
        <v>172</v>
      </c>
      <c r="D4" s="35">
        <v>37</v>
      </c>
      <c r="E4" s="20" t="s">
        <v>173</v>
      </c>
      <c r="F4" s="20" t="s">
        <v>174</v>
      </c>
      <c r="G4" s="36">
        <v>17014</v>
      </c>
      <c r="H4" s="34" t="s">
        <v>163</v>
      </c>
      <c r="I4" s="37" t="s">
        <v>165</v>
      </c>
      <c r="J4" s="37" t="s">
        <v>165</v>
      </c>
      <c r="K4" s="48">
        <v>0</v>
      </c>
      <c r="L4" s="48">
        <v>0.33333333333333331</v>
      </c>
      <c r="M4" s="35">
        <v>30</v>
      </c>
      <c r="N4" s="34" t="s">
        <v>166</v>
      </c>
      <c r="O4" s="35">
        <v>1365</v>
      </c>
      <c r="P4" s="35">
        <v>5</v>
      </c>
      <c r="Q4" s="35">
        <v>4</v>
      </c>
      <c r="R4" s="20" t="s">
        <v>129</v>
      </c>
      <c r="S4" s="20" t="s">
        <v>129</v>
      </c>
      <c r="T4" s="34" t="s">
        <v>129</v>
      </c>
      <c r="U4" s="20"/>
    </row>
    <row r="5" spans="1:21" ht="18.75" customHeight="1">
      <c r="A5" s="4">
        <v>2</v>
      </c>
      <c r="B5" s="34" t="s">
        <v>175</v>
      </c>
      <c r="C5" s="20" t="s">
        <v>176</v>
      </c>
      <c r="D5" s="35">
        <v>63</v>
      </c>
      <c r="E5" s="20" t="s">
        <v>177</v>
      </c>
      <c r="F5" s="20" t="s">
        <v>178</v>
      </c>
      <c r="G5" s="36">
        <v>22066</v>
      </c>
      <c r="H5" s="34" t="s">
        <v>163</v>
      </c>
      <c r="I5" s="37" t="s">
        <v>165</v>
      </c>
      <c r="J5" s="37" t="s">
        <v>165</v>
      </c>
      <c r="K5" s="48">
        <v>0</v>
      </c>
      <c r="L5" s="48">
        <v>0.75</v>
      </c>
      <c r="M5" s="35">
        <v>30</v>
      </c>
      <c r="N5" s="34" t="s">
        <v>170</v>
      </c>
      <c r="O5" s="35">
        <v>1365</v>
      </c>
      <c r="P5" s="35">
        <v>5</v>
      </c>
      <c r="Q5" s="35">
        <v>4</v>
      </c>
      <c r="R5" s="20" t="s">
        <v>129</v>
      </c>
      <c r="S5" s="20" t="s">
        <v>129</v>
      </c>
      <c r="T5" s="34" t="s">
        <v>129</v>
      </c>
      <c r="U5" s="20"/>
    </row>
    <row r="6" spans="1:21" ht="18.75" customHeight="1">
      <c r="A6" s="4">
        <v>3</v>
      </c>
      <c r="B6" s="34" t="s">
        <v>179</v>
      </c>
      <c r="C6" s="20" t="s">
        <v>160</v>
      </c>
      <c r="D6" s="35">
        <v>82</v>
      </c>
      <c r="E6" s="20" t="s">
        <v>161</v>
      </c>
      <c r="F6" s="20" t="s">
        <v>162</v>
      </c>
      <c r="G6" s="36">
        <v>14100</v>
      </c>
      <c r="H6" s="34" t="s">
        <v>163</v>
      </c>
      <c r="I6" s="37" t="s">
        <v>164</v>
      </c>
      <c r="J6" s="37" t="s">
        <v>165</v>
      </c>
      <c r="K6" s="48">
        <v>0</v>
      </c>
      <c r="L6" s="48">
        <v>0.99930555555555556</v>
      </c>
      <c r="M6" s="35">
        <v>30</v>
      </c>
      <c r="N6" s="34" t="s">
        <v>166</v>
      </c>
      <c r="O6" s="35">
        <v>200</v>
      </c>
      <c r="P6" s="38">
        <v>0.96</v>
      </c>
      <c r="Q6" s="35">
        <v>1</v>
      </c>
      <c r="R6" s="20" t="s">
        <v>129</v>
      </c>
      <c r="S6" s="20" t="s">
        <v>129</v>
      </c>
      <c r="T6" s="34" t="s">
        <v>129</v>
      </c>
      <c r="U6" s="20"/>
    </row>
    <row r="7" spans="1:21" ht="18.75" customHeight="1">
      <c r="A7" s="4">
        <v>3</v>
      </c>
      <c r="B7" s="34" t="s">
        <v>180</v>
      </c>
      <c r="C7" s="20" t="s">
        <v>181</v>
      </c>
      <c r="D7" s="35">
        <v>11</v>
      </c>
      <c r="E7" s="20" t="s">
        <v>182</v>
      </c>
      <c r="F7" s="20" t="s">
        <v>178</v>
      </c>
      <c r="G7" s="36">
        <v>22070</v>
      </c>
      <c r="H7" s="34" t="s">
        <v>163</v>
      </c>
      <c r="I7" s="37" t="s">
        <v>164</v>
      </c>
      <c r="J7" s="37" t="s">
        <v>165</v>
      </c>
      <c r="K7" s="48">
        <v>0</v>
      </c>
      <c r="L7" s="48">
        <v>0.75</v>
      </c>
      <c r="M7" s="35">
        <v>30</v>
      </c>
      <c r="N7" s="34" t="s">
        <v>170</v>
      </c>
      <c r="O7" s="35">
        <v>200</v>
      </c>
      <c r="P7" s="38">
        <v>0.96</v>
      </c>
      <c r="Q7" s="35">
        <v>1</v>
      </c>
      <c r="R7" s="20" t="s">
        <v>129</v>
      </c>
      <c r="S7" s="20" t="s">
        <v>129</v>
      </c>
      <c r="T7" s="34" t="s">
        <v>129</v>
      </c>
      <c r="U7" s="20"/>
    </row>
    <row r="8" spans="1:21" ht="18.75" customHeight="1">
      <c r="A8" s="4">
        <v>4</v>
      </c>
      <c r="B8" s="34" t="s">
        <v>183</v>
      </c>
      <c r="C8" s="20" t="s">
        <v>184</v>
      </c>
      <c r="D8" s="35">
        <v>2</v>
      </c>
      <c r="E8" s="20" t="s">
        <v>185</v>
      </c>
      <c r="F8" s="20" t="s">
        <v>186</v>
      </c>
      <c r="G8" s="36">
        <v>20010</v>
      </c>
      <c r="H8" s="34" t="s">
        <v>163</v>
      </c>
      <c r="I8" s="37" t="s">
        <v>165</v>
      </c>
      <c r="J8" s="37" t="s">
        <v>165</v>
      </c>
      <c r="K8" s="48">
        <v>0.33333333333333331</v>
      </c>
      <c r="L8" s="48">
        <v>0.99930555555555556</v>
      </c>
      <c r="M8" s="35">
        <v>30</v>
      </c>
      <c r="N8" s="34" t="s">
        <v>166</v>
      </c>
      <c r="O8" s="35">
        <v>72</v>
      </c>
      <c r="P8" s="38">
        <v>0.96</v>
      </c>
      <c r="Q8" s="35">
        <v>1</v>
      </c>
      <c r="R8" s="20" t="s">
        <v>129</v>
      </c>
      <c r="S8" s="20" t="s">
        <v>129</v>
      </c>
      <c r="T8" s="34" t="s">
        <v>129</v>
      </c>
      <c r="U8" s="20"/>
    </row>
    <row r="9" spans="1:21" ht="18.75" customHeight="1">
      <c r="A9" s="4">
        <v>4</v>
      </c>
      <c r="B9" s="34" t="s">
        <v>187</v>
      </c>
      <c r="C9" s="20" t="s">
        <v>188</v>
      </c>
      <c r="D9" s="35">
        <v>72</v>
      </c>
      <c r="E9" s="20" t="s">
        <v>189</v>
      </c>
      <c r="F9" s="20" t="s">
        <v>190</v>
      </c>
      <c r="G9" s="39">
        <v>46035</v>
      </c>
      <c r="H9" s="34" t="s">
        <v>163</v>
      </c>
      <c r="I9" s="37" t="s">
        <v>165</v>
      </c>
      <c r="J9" s="37" t="s">
        <v>165</v>
      </c>
      <c r="K9" s="48">
        <v>0</v>
      </c>
      <c r="L9" s="48">
        <v>0.99930555555555556</v>
      </c>
      <c r="M9" s="35">
        <v>30</v>
      </c>
      <c r="N9" s="34" t="s">
        <v>191</v>
      </c>
      <c r="O9" s="35">
        <v>72</v>
      </c>
      <c r="P9" s="38">
        <v>0.96</v>
      </c>
      <c r="Q9" s="35">
        <v>1</v>
      </c>
      <c r="R9" s="20" t="s">
        <v>129</v>
      </c>
      <c r="S9" s="20" t="s">
        <v>129</v>
      </c>
      <c r="T9" s="34" t="s">
        <v>129</v>
      </c>
    </row>
    <row r="10" spans="1:21" ht="18.75" customHeight="1">
      <c r="A10" s="4">
        <v>5</v>
      </c>
      <c r="B10" s="34" t="s">
        <v>192</v>
      </c>
      <c r="C10" s="20" t="s">
        <v>193</v>
      </c>
      <c r="D10" s="35">
        <v>134</v>
      </c>
      <c r="E10" s="20" t="s">
        <v>194</v>
      </c>
      <c r="F10" s="20" t="s">
        <v>186</v>
      </c>
      <c r="G10" s="36">
        <v>20096</v>
      </c>
      <c r="H10" s="34" t="s">
        <v>163</v>
      </c>
      <c r="I10" s="37" t="s">
        <v>165</v>
      </c>
      <c r="J10" s="37" t="s">
        <v>195</v>
      </c>
      <c r="K10" s="48">
        <v>0</v>
      </c>
      <c r="L10" s="48">
        <v>0.99930555555555556</v>
      </c>
      <c r="M10" s="35">
        <v>30</v>
      </c>
      <c r="N10" s="34" t="s">
        <v>166</v>
      </c>
      <c r="O10" s="35">
        <v>217</v>
      </c>
      <c r="P10" s="38">
        <v>0.96</v>
      </c>
      <c r="Q10" s="35">
        <v>1</v>
      </c>
      <c r="R10" s="20" t="s">
        <v>129</v>
      </c>
      <c r="S10" s="20" t="s">
        <v>129</v>
      </c>
      <c r="T10" s="34" t="s">
        <v>129</v>
      </c>
      <c r="U10" s="20"/>
    </row>
    <row r="11" spans="1:21" ht="18.75" customHeight="1">
      <c r="A11" s="4">
        <v>5</v>
      </c>
      <c r="B11" s="34" t="s">
        <v>196</v>
      </c>
      <c r="C11" s="20" t="s">
        <v>197</v>
      </c>
      <c r="D11" s="35">
        <v>177</v>
      </c>
      <c r="E11" s="20" t="s">
        <v>198</v>
      </c>
      <c r="F11" s="20" t="s">
        <v>199</v>
      </c>
      <c r="G11" s="36">
        <v>50041</v>
      </c>
      <c r="H11" s="34" t="s">
        <v>163</v>
      </c>
      <c r="I11" s="37" t="s">
        <v>200</v>
      </c>
      <c r="J11" s="37" t="s">
        <v>195</v>
      </c>
      <c r="K11" s="48">
        <v>0</v>
      </c>
      <c r="L11" s="48">
        <v>0.99930555555555556</v>
      </c>
      <c r="M11" s="35">
        <v>30</v>
      </c>
      <c r="N11" s="34" t="s">
        <v>191</v>
      </c>
      <c r="O11" s="35">
        <v>217</v>
      </c>
      <c r="P11" s="38">
        <v>0.96</v>
      </c>
      <c r="Q11" s="35">
        <v>1</v>
      </c>
      <c r="R11" s="20" t="s">
        <v>129</v>
      </c>
      <c r="S11" s="20" t="s">
        <v>129</v>
      </c>
      <c r="T11" s="34" t="s">
        <v>129</v>
      </c>
      <c r="U11" s="20"/>
    </row>
    <row r="12" spans="1:21" ht="18.75" customHeight="1">
      <c r="A12" s="4">
        <v>6</v>
      </c>
      <c r="B12" s="34" t="s">
        <v>192</v>
      </c>
      <c r="C12" s="20" t="s">
        <v>193</v>
      </c>
      <c r="D12" s="35">
        <v>134</v>
      </c>
      <c r="E12" s="20" t="s">
        <v>194</v>
      </c>
      <c r="F12" s="20" t="s">
        <v>186</v>
      </c>
      <c r="G12" s="36">
        <v>20096</v>
      </c>
      <c r="H12" s="34" t="s">
        <v>163</v>
      </c>
      <c r="I12" s="37" t="s">
        <v>165</v>
      </c>
      <c r="J12" s="37" t="s">
        <v>165</v>
      </c>
      <c r="K12" s="48">
        <v>0</v>
      </c>
      <c r="L12" s="48">
        <v>0.99930555555555556</v>
      </c>
      <c r="M12" s="35">
        <v>30</v>
      </c>
      <c r="N12" s="34" t="s">
        <v>166</v>
      </c>
      <c r="O12" s="35">
        <v>329</v>
      </c>
      <c r="P12" s="38">
        <v>0.96</v>
      </c>
      <c r="Q12" s="35">
        <v>1</v>
      </c>
      <c r="R12" s="20" t="s">
        <v>129</v>
      </c>
      <c r="S12" s="20" t="s">
        <v>129</v>
      </c>
      <c r="T12" s="34" t="s">
        <v>129</v>
      </c>
      <c r="U12" s="20"/>
    </row>
    <row r="13" spans="1:21" ht="18.75" customHeight="1">
      <c r="A13" s="4">
        <v>6</v>
      </c>
      <c r="B13" s="34" t="s">
        <v>201</v>
      </c>
      <c r="C13" s="20" t="s">
        <v>202</v>
      </c>
      <c r="D13" s="35">
        <v>1</v>
      </c>
      <c r="E13" s="20" t="s">
        <v>203</v>
      </c>
      <c r="F13" s="20" t="s">
        <v>204</v>
      </c>
      <c r="G13" s="36">
        <v>16014</v>
      </c>
      <c r="H13" s="34" t="s">
        <v>163</v>
      </c>
      <c r="I13" s="37" t="s">
        <v>165</v>
      </c>
      <c r="J13" s="37" t="s">
        <v>195</v>
      </c>
      <c r="K13" s="48">
        <v>0</v>
      </c>
      <c r="L13" s="48">
        <v>0.75</v>
      </c>
      <c r="M13" s="35">
        <v>30</v>
      </c>
      <c r="N13" s="34" t="s">
        <v>170</v>
      </c>
      <c r="O13" s="35">
        <v>329</v>
      </c>
      <c r="P13" s="38">
        <v>0.96</v>
      </c>
      <c r="Q13" s="35">
        <v>1</v>
      </c>
      <c r="R13" s="20" t="s">
        <v>129</v>
      </c>
      <c r="S13" s="20" t="s">
        <v>129</v>
      </c>
      <c r="T13" s="34" t="s">
        <v>129</v>
      </c>
      <c r="U13" s="20"/>
    </row>
    <row r="14" spans="1:21" ht="18.75" customHeight="1">
      <c r="A14" s="4">
        <v>7</v>
      </c>
      <c r="B14" s="34" t="s">
        <v>192</v>
      </c>
      <c r="C14" s="20" t="s">
        <v>193</v>
      </c>
      <c r="D14" s="35">
        <v>134</v>
      </c>
      <c r="E14" s="20" t="s">
        <v>194</v>
      </c>
      <c r="F14" s="20" t="s">
        <v>186</v>
      </c>
      <c r="G14" s="36">
        <v>20096</v>
      </c>
      <c r="H14" s="34" t="s">
        <v>163</v>
      </c>
      <c r="I14" s="37" t="s">
        <v>165</v>
      </c>
      <c r="J14" s="37" t="s">
        <v>165</v>
      </c>
      <c r="K14" s="48">
        <v>0</v>
      </c>
      <c r="L14" s="48">
        <v>0.6875</v>
      </c>
      <c r="M14" s="35">
        <v>30</v>
      </c>
      <c r="N14" s="34" t="s">
        <v>166</v>
      </c>
      <c r="O14" s="35">
        <v>5317</v>
      </c>
      <c r="P14" s="35">
        <v>5</v>
      </c>
      <c r="Q14" s="35">
        <v>5</v>
      </c>
      <c r="R14" s="20" t="s">
        <v>129</v>
      </c>
      <c r="S14" s="20" t="s">
        <v>129</v>
      </c>
      <c r="T14" s="34" t="s">
        <v>129</v>
      </c>
      <c r="U14" s="20"/>
    </row>
    <row r="15" spans="1:21" ht="18.75" customHeight="1">
      <c r="A15" s="4">
        <v>7</v>
      </c>
      <c r="B15" s="34" t="s">
        <v>205</v>
      </c>
      <c r="C15" s="20" t="s">
        <v>206</v>
      </c>
      <c r="D15" s="35">
        <v>7</v>
      </c>
      <c r="E15" s="20" t="s">
        <v>207</v>
      </c>
      <c r="F15" s="20" t="s">
        <v>208</v>
      </c>
      <c r="G15" s="36">
        <v>10051</v>
      </c>
      <c r="H15" s="34" t="s">
        <v>163</v>
      </c>
      <c r="I15" s="37" t="s">
        <v>195</v>
      </c>
      <c r="J15" s="37" t="s">
        <v>195</v>
      </c>
      <c r="K15" s="48">
        <v>0</v>
      </c>
      <c r="L15" s="48">
        <v>0.58333333333333337</v>
      </c>
      <c r="M15" s="35">
        <v>30</v>
      </c>
      <c r="N15" s="34" t="s">
        <v>170</v>
      </c>
      <c r="O15" s="35">
        <v>5317</v>
      </c>
      <c r="P15" s="35">
        <v>5</v>
      </c>
      <c r="Q15" s="35">
        <v>5</v>
      </c>
      <c r="R15" s="20" t="s">
        <v>129</v>
      </c>
      <c r="S15" s="20" t="s">
        <v>129</v>
      </c>
      <c r="T15" s="34" t="s">
        <v>129</v>
      </c>
    </row>
    <row r="16" spans="1:21" ht="18.75" customHeight="1">
      <c r="A16" s="4">
        <v>8</v>
      </c>
      <c r="B16" s="34" t="s">
        <v>159</v>
      </c>
      <c r="C16" s="20" t="s">
        <v>209</v>
      </c>
      <c r="D16" s="35">
        <v>1</v>
      </c>
      <c r="E16" s="20" t="s">
        <v>210</v>
      </c>
      <c r="F16" s="20" t="s">
        <v>211</v>
      </c>
      <c r="G16" s="36">
        <v>24059</v>
      </c>
      <c r="H16" s="34" t="s">
        <v>163</v>
      </c>
      <c r="I16" s="37" t="s">
        <v>165</v>
      </c>
      <c r="J16" s="37" t="s">
        <v>165</v>
      </c>
      <c r="K16" s="48">
        <v>0</v>
      </c>
      <c r="L16" s="48">
        <v>0.75</v>
      </c>
      <c r="M16" s="35">
        <v>30</v>
      </c>
      <c r="N16" s="34" t="s">
        <v>166</v>
      </c>
      <c r="O16" s="35">
        <v>5150</v>
      </c>
      <c r="P16" s="35">
        <v>5</v>
      </c>
      <c r="Q16" s="35">
        <v>8</v>
      </c>
      <c r="R16" s="20" t="s">
        <v>129</v>
      </c>
      <c r="S16" s="20" t="s">
        <v>129</v>
      </c>
      <c r="T16" s="34" t="s">
        <v>129</v>
      </c>
    </row>
    <row r="17" spans="1:20" ht="18.75" customHeight="1">
      <c r="A17" s="4">
        <v>8</v>
      </c>
      <c r="B17" s="34" t="s">
        <v>212</v>
      </c>
      <c r="C17" s="20" t="s">
        <v>213</v>
      </c>
      <c r="D17" s="35">
        <v>8</v>
      </c>
      <c r="E17" s="20" t="s">
        <v>214</v>
      </c>
      <c r="F17" s="20" t="s">
        <v>208</v>
      </c>
      <c r="G17" s="36">
        <v>10098</v>
      </c>
      <c r="H17" s="34" t="s">
        <v>163</v>
      </c>
      <c r="I17" s="37" t="s">
        <v>165</v>
      </c>
      <c r="J17" s="37" t="s">
        <v>165</v>
      </c>
      <c r="K17" s="48">
        <v>0</v>
      </c>
      <c r="L17" s="48">
        <v>0.75</v>
      </c>
      <c r="M17" s="35">
        <v>30</v>
      </c>
      <c r="N17" s="34" t="s">
        <v>170</v>
      </c>
      <c r="O17" s="35">
        <v>5150</v>
      </c>
      <c r="P17" s="35">
        <v>5</v>
      </c>
      <c r="Q17" s="35">
        <v>8</v>
      </c>
      <c r="R17" s="20" t="s">
        <v>129</v>
      </c>
      <c r="S17" s="20" t="s">
        <v>129</v>
      </c>
      <c r="T17" s="34" t="s">
        <v>129</v>
      </c>
    </row>
    <row r="18" spans="1:20" ht="18.75" customHeight="1">
      <c r="A18" s="4">
        <v>9</v>
      </c>
      <c r="B18" s="34" t="s">
        <v>215</v>
      </c>
      <c r="C18" s="20" t="s">
        <v>216</v>
      </c>
      <c r="D18" s="35">
        <v>5</v>
      </c>
      <c r="E18" s="20" t="s">
        <v>217</v>
      </c>
      <c r="F18" s="20" t="s">
        <v>204</v>
      </c>
      <c r="G18" s="36">
        <v>16019</v>
      </c>
      <c r="H18" s="34" t="s">
        <v>163</v>
      </c>
      <c r="I18" s="37" t="s">
        <v>165</v>
      </c>
      <c r="J18" s="37" t="s">
        <v>165</v>
      </c>
      <c r="K18" s="48">
        <v>0</v>
      </c>
      <c r="L18" s="48">
        <v>0.75</v>
      </c>
      <c r="M18" s="35">
        <v>30</v>
      </c>
      <c r="N18" s="34" t="s">
        <v>166</v>
      </c>
      <c r="O18" s="35">
        <v>97</v>
      </c>
      <c r="P18" s="38">
        <v>0.96</v>
      </c>
      <c r="Q18" s="35">
        <v>1</v>
      </c>
      <c r="R18" s="20" t="s">
        <v>129</v>
      </c>
      <c r="S18" s="20" t="s">
        <v>129</v>
      </c>
      <c r="T18" s="34" t="s">
        <v>129</v>
      </c>
    </row>
    <row r="19" spans="1:20" ht="18.75" customHeight="1">
      <c r="A19" s="4">
        <v>9</v>
      </c>
      <c r="B19" s="34" t="s">
        <v>218</v>
      </c>
      <c r="C19" s="20" t="s">
        <v>219</v>
      </c>
      <c r="D19" s="35">
        <v>24</v>
      </c>
      <c r="E19" s="20" t="s">
        <v>220</v>
      </c>
      <c r="F19" s="20" t="s">
        <v>186</v>
      </c>
      <c r="G19" s="36">
        <v>20010</v>
      </c>
      <c r="H19" s="34" t="s">
        <v>163</v>
      </c>
      <c r="I19" s="37" t="s">
        <v>165</v>
      </c>
      <c r="J19" s="37" t="s">
        <v>165</v>
      </c>
      <c r="K19" s="48">
        <v>0</v>
      </c>
      <c r="L19" s="48">
        <v>0.75</v>
      </c>
      <c r="M19" s="35">
        <v>30</v>
      </c>
      <c r="N19" s="34" t="s">
        <v>170</v>
      </c>
      <c r="O19" s="35">
        <v>97</v>
      </c>
      <c r="P19" s="38">
        <v>0.96</v>
      </c>
      <c r="Q19" s="35">
        <v>1</v>
      </c>
      <c r="R19" s="20" t="s">
        <v>129</v>
      </c>
      <c r="S19" s="20" t="s">
        <v>129</v>
      </c>
      <c r="T19" s="34" t="s">
        <v>129</v>
      </c>
    </row>
    <row r="20" spans="1:20" ht="18.75" customHeight="1">
      <c r="A20" s="4">
        <v>10</v>
      </c>
      <c r="B20" s="34" t="s">
        <v>221</v>
      </c>
      <c r="C20" s="20" t="s">
        <v>222</v>
      </c>
      <c r="D20" s="35">
        <v>8</v>
      </c>
      <c r="E20" s="20" t="s">
        <v>223</v>
      </c>
      <c r="F20" s="20" t="s">
        <v>224</v>
      </c>
      <c r="G20" s="36">
        <v>13100</v>
      </c>
      <c r="H20" s="34" t="s">
        <v>163</v>
      </c>
      <c r="I20" s="37" t="s">
        <v>165</v>
      </c>
      <c r="J20" s="37" t="s">
        <v>165</v>
      </c>
      <c r="K20" s="48">
        <v>0</v>
      </c>
      <c r="L20" s="48">
        <v>0.35416666666666669</v>
      </c>
      <c r="M20" s="35">
        <v>30</v>
      </c>
      <c r="N20" s="34" t="s">
        <v>166</v>
      </c>
      <c r="O20" s="35">
        <v>797</v>
      </c>
      <c r="P20" s="35">
        <v>8</v>
      </c>
      <c r="Q20" s="35">
        <v>7</v>
      </c>
      <c r="R20" s="20" t="s">
        <v>129</v>
      </c>
      <c r="S20" s="20" t="s">
        <v>129</v>
      </c>
      <c r="T20" s="34" t="s">
        <v>129</v>
      </c>
    </row>
    <row r="21" spans="1:20" ht="18.75" customHeight="1">
      <c r="A21" s="4">
        <v>10</v>
      </c>
      <c r="B21" s="34" t="s">
        <v>225</v>
      </c>
      <c r="C21" s="20" t="s">
        <v>226</v>
      </c>
      <c r="D21" s="35">
        <v>23</v>
      </c>
      <c r="E21" s="20" t="s">
        <v>227</v>
      </c>
      <c r="F21" s="20" t="s">
        <v>228</v>
      </c>
      <c r="G21" s="36">
        <v>21015</v>
      </c>
      <c r="H21" s="34" t="s">
        <v>163</v>
      </c>
      <c r="I21" s="37" t="s">
        <v>165</v>
      </c>
      <c r="J21" s="37" t="s">
        <v>165</v>
      </c>
      <c r="K21" s="48">
        <v>0</v>
      </c>
      <c r="L21" s="48">
        <v>0.99930555555555556</v>
      </c>
      <c r="M21" s="35">
        <v>30</v>
      </c>
      <c r="N21" s="34" t="s">
        <v>170</v>
      </c>
      <c r="O21" s="35">
        <v>797</v>
      </c>
      <c r="P21" s="35">
        <v>8</v>
      </c>
      <c r="Q21" s="35">
        <v>7</v>
      </c>
      <c r="R21" s="20" t="s">
        <v>129</v>
      </c>
      <c r="S21" s="20" t="s">
        <v>129</v>
      </c>
      <c r="T21" s="34" t="s">
        <v>129</v>
      </c>
    </row>
    <row r="22" spans="1:20" ht="18.75" customHeight="1">
      <c r="A22" s="4">
        <v>11</v>
      </c>
      <c r="B22" s="34" t="s">
        <v>229</v>
      </c>
      <c r="C22" s="20" t="s">
        <v>230</v>
      </c>
      <c r="D22" s="35">
        <v>1</v>
      </c>
      <c r="E22" s="20" t="s">
        <v>231</v>
      </c>
      <c r="F22" s="20" t="s">
        <v>232</v>
      </c>
      <c r="G22" s="36">
        <v>20877</v>
      </c>
      <c r="H22" s="34" t="s">
        <v>163</v>
      </c>
      <c r="I22" s="37" t="s">
        <v>165</v>
      </c>
      <c r="J22" s="37" t="s">
        <v>165</v>
      </c>
      <c r="K22" s="48">
        <v>0</v>
      </c>
      <c r="L22" s="48">
        <v>0.33333333333333331</v>
      </c>
      <c r="M22" s="35">
        <v>30</v>
      </c>
      <c r="N22" s="34" t="s">
        <v>166</v>
      </c>
      <c r="O22" s="35">
        <v>737</v>
      </c>
      <c r="P22" s="35">
        <v>5</v>
      </c>
      <c r="Q22" s="35">
        <v>5</v>
      </c>
      <c r="R22" s="20" t="s">
        <v>130</v>
      </c>
      <c r="S22" s="20" t="s">
        <v>129</v>
      </c>
      <c r="T22" s="34" t="s">
        <v>129</v>
      </c>
    </row>
    <row r="23" spans="1:20" ht="18.75" customHeight="1">
      <c r="A23" s="4">
        <v>11</v>
      </c>
      <c r="B23" s="34" t="s">
        <v>229</v>
      </c>
      <c r="C23" s="20" t="s">
        <v>233</v>
      </c>
      <c r="D23" s="35">
        <v>26</v>
      </c>
      <c r="E23" s="20" t="s">
        <v>234</v>
      </c>
      <c r="F23" s="20" t="s">
        <v>186</v>
      </c>
      <c r="G23" s="36">
        <v>20068</v>
      </c>
      <c r="H23" s="34" t="s">
        <v>163</v>
      </c>
      <c r="I23" s="37" t="s">
        <v>165</v>
      </c>
      <c r="J23" s="37" t="s">
        <v>165</v>
      </c>
      <c r="K23" s="48">
        <v>0.33333333333333331</v>
      </c>
      <c r="L23" s="48">
        <v>0.625</v>
      </c>
      <c r="M23" s="35">
        <v>30</v>
      </c>
      <c r="N23" s="34" t="s">
        <v>170</v>
      </c>
      <c r="O23" s="35">
        <v>737</v>
      </c>
      <c r="P23" s="4">
        <v>5</v>
      </c>
      <c r="Q23" s="35">
        <v>5</v>
      </c>
      <c r="R23" s="20" t="s">
        <v>130</v>
      </c>
      <c r="S23" s="20" t="s">
        <v>129</v>
      </c>
      <c r="T23" s="34" t="s">
        <v>129</v>
      </c>
    </row>
    <row r="24" spans="1:20" ht="18.75" customHeight="1">
      <c r="A24" s="4">
        <v>11</v>
      </c>
      <c r="B24" s="34" t="s">
        <v>229</v>
      </c>
      <c r="C24" s="20" t="s">
        <v>233</v>
      </c>
      <c r="D24" s="35">
        <v>26</v>
      </c>
      <c r="E24" s="20" t="s">
        <v>234</v>
      </c>
      <c r="F24" s="20" t="s">
        <v>186</v>
      </c>
      <c r="G24" s="36">
        <v>20068</v>
      </c>
      <c r="H24" s="34" t="s">
        <v>163</v>
      </c>
      <c r="I24" s="37" t="s">
        <v>165</v>
      </c>
      <c r="J24" s="37" t="s">
        <v>165</v>
      </c>
      <c r="K24" s="48">
        <v>0.33333333333333331</v>
      </c>
      <c r="L24" s="48">
        <v>0.625</v>
      </c>
      <c r="M24" s="35">
        <v>30</v>
      </c>
      <c r="N24" s="34" t="s">
        <v>235</v>
      </c>
      <c r="O24" s="35">
        <v>737</v>
      </c>
      <c r="P24" s="35">
        <v>5</v>
      </c>
      <c r="Q24" s="35">
        <v>5</v>
      </c>
      <c r="R24" s="20" t="s">
        <v>130</v>
      </c>
      <c r="S24" s="20" t="s">
        <v>129</v>
      </c>
      <c r="T24" s="34" t="s">
        <v>129</v>
      </c>
    </row>
    <row r="25" spans="1:20" ht="18.75" customHeight="1">
      <c r="A25" s="4">
        <v>11</v>
      </c>
      <c r="B25" s="34" t="s">
        <v>236</v>
      </c>
      <c r="C25" s="20" t="s">
        <v>237</v>
      </c>
      <c r="D25" s="35">
        <v>1</v>
      </c>
      <c r="E25" s="20" t="s">
        <v>238</v>
      </c>
      <c r="F25" s="20" t="s">
        <v>228</v>
      </c>
      <c r="G25" s="36">
        <v>21010</v>
      </c>
      <c r="H25" s="34" t="s">
        <v>163</v>
      </c>
      <c r="I25" s="37" t="s">
        <v>165</v>
      </c>
      <c r="J25" s="37" t="s">
        <v>165</v>
      </c>
      <c r="K25" s="48">
        <v>0</v>
      </c>
      <c r="L25" s="48">
        <v>0.75</v>
      </c>
      <c r="M25" s="35">
        <v>30</v>
      </c>
      <c r="N25" s="34" t="s">
        <v>170</v>
      </c>
      <c r="O25" s="35">
        <v>737</v>
      </c>
      <c r="P25" s="35">
        <v>5</v>
      </c>
      <c r="Q25" s="35">
        <v>5</v>
      </c>
      <c r="R25" s="20" t="s">
        <v>130</v>
      </c>
      <c r="S25" s="20" t="s">
        <v>129</v>
      </c>
      <c r="T25" s="34" t="s">
        <v>129</v>
      </c>
    </row>
    <row r="26" spans="1:20" ht="18.75" customHeight="1">
      <c r="A26" s="4">
        <v>12</v>
      </c>
      <c r="B26" s="34" t="s">
        <v>239</v>
      </c>
      <c r="C26" s="20" t="s">
        <v>240</v>
      </c>
      <c r="D26" s="35">
        <v>42</v>
      </c>
      <c r="E26" s="20" t="s">
        <v>241</v>
      </c>
      <c r="F26" s="20" t="s">
        <v>242</v>
      </c>
      <c r="G26" s="36">
        <v>53014</v>
      </c>
      <c r="H26" s="34" t="s">
        <v>163</v>
      </c>
      <c r="I26" s="37" t="s">
        <v>165</v>
      </c>
      <c r="J26" s="37" t="s">
        <v>243</v>
      </c>
      <c r="K26" s="48">
        <v>0</v>
      </c>
      <c r="L26" s="48">
        <v>0.75</v>
      </c>
      <c r="M26" s="35">
        <v>30</v>
      </c>
      <c r="N26" s="34" t="s">
        <v>166</v>
      </c>
      <c r="O26" s="35">
        <v>2000</v>
      </c>
      <c r="P26" s="4">
        <v>8</v>
      </c>
      <c r="Q26" s="35">
        <v>8</v>
      </c>
      <c r="R26" s="20" t="s">
        <v>129</v>
      </c>
      <c r="S26" s="20" t="s">
        <v>129</v>
      </c>
      <c r="T26" s="34" t="s">
        <v>129</v>
      </c>
    </row>
    <row r="27" spans="1:20" ht="18.75" customHeight="1">
      <c r="A27" s="4">
        <v>12</v>
      </c>
      <c r="B27" s="34" t="s">
        <v>244</v>
      </c>
      <c r="C27" s="20" t="s">
        <v>245</v>
      </c>
      <c r="D27" s="35">
        <v>1</v>
      </c>
      <c r="E27" s="20" t="s">
        <v>246</v>
      </c>
      <c r="F27" s="20" t="s">
        <v>247</v>
      </c>
      <c r="G27" s="36">
        <v>29122</v>
      </c>
      <c r="H27" s="34" t="s">
        <v>163</v>
      </c>
      <c r="I27" s="37" t="s">
        <v>195</v>
      </c>
      <c r="J27" s="37" t="s">
        <v>195</v>
      </c>
      <c r="K27" s="48">
        <v>0</v>
      </c>
      <c r="L27" s="48">
        <v>0.75</v>
      </c>
      <c r="M27" s="35">
        <v>30</v>
      </c>
      <c r="N27" s="34" t="s">
        <v>170</v>
      </c>
      <c r="O27" s="35">
        <v>2000</v>
      </c>
      <c r="P27" s="4">
        <v>8</v>
      </c>
      <c r="Q27" s="35">
        <v>8</v>
      </c>
      <c r="R27" s="20" t="s">
        <v>129</v>
      </c>
      <c r="S27" s="20" t="s">
        <v>129</v>
      </c>
      <c r="T27" s="34" t="s">
        <v>129</v>
      </c>
    </row>
    <row r="28" spans="1:20" ht="18.75" customHeight="1">
      <c r="A28" s="4">
        <v>13</v>
      </c>
      <c r="B28" s="34" t="s">
        <v>248</v>
      </c>
      <c r="C28" s="20" t="s">
        <v>249</v>
      </c>
      <c r="D28" s="35">
        <v>400</v>
      </c>
      <c r="E28" s="20" t="s">
        <v>250</v>
      </c>
      <c r="F28" s="20" t="s">
        <v>251</v>
      </c>
      <c r="G28" s="36">
        <v>6023</v>
      </c>
      <c r="H28" s="34" t="s">
        <v>163</v>
      </c>
      <c r="I28" s="37" t="s">
        <v>195</v>
      </c>
      <c r="J28" s="37" t="s">
        <v>252</v>
      </c>
      <c r="K28" s="48">
        <v>0</v>
      </c>
      <c r="L28" s="48">
        <v>0.75</v>
      </c>
      <c r="M28" s="35">
        <v>30</v>
      </c>
      <c r="N28" s="34" t="s">
        <v>166</v>
      </c>
      <c r="O28" s="35">
        <v>50</v>
      </c>
      <c r="P28" s="4">
        <v>3</v>
      </c>
      <c r="Q28" s="35">
        <v>3</v>
      </c>
      <c r="R28" s="20" t="s">
        <v>129</v>
      </c>
      <c r="S28" s="20" t="s">
        <v>129</v>
      </c>
      <c r="T28" s="34" t="s">
        <v>129</v>
      </c>
    </row>
    <row r="29" spans="1:20" ht="18.75" customHeight="1">
      <c r="A29" s="4">
        <v>13</v>
      </c>
      <c r="B29" s="34" t="s">
        <v>253</v>
      </c>
      <c r="C29" s="20" t="s">
        <v>254</v>
      </c>
      <c r="D29" s="35">
        <v>8</v>
      </c>
      <c r="E29" s="20" t="s">
        <v>255</v>
      </c>
      <c r="F29" s="20" t="s">
        <v>228</v>
      </c>
      <c r="G29" s="36">
        <v>21100</v>
      </c>
      <c r="H29" s="34" t="s">
        <v>163</v>
      </c>
      <c r="I29" s="37" t="s">
        <v>195</v>
      </c>
      <c r="J29" s="37" t="s">
        <v>256</v>
      </c>
      <c r="K29" s="48">
        <v>0</v>
      </c>
      <c r="L29" s="48">
        <v>0.75</v>
      </c>
      <c r="M29" s="35">
        <v>30</v>
      </c>
      <c r="N29" s="34" t="s">
        <v>170</v>
      </c>
      <c r="O29" s="4">
        <v>50</v>
      </c>
      <c r="P29" s="35">
        <v>3</v>
      </c>
      <c r="Q29" s="35">
        <v>3</v>
      </c>
      <c r="R29" s="20" t="s">
        <v>129</v>
      </c>
      <c r="S29" s="20" t="s">
        <v>129</v>
      </c>
      <c r="T29" s="34" t="s">
        <v>129</v>
      </c>
    </row>
    <row r="30" spans="1:20" ht="18.75" customHeight="1">
      <c r="A30" s="4">
        <v>14</v>
      </c>
      <c r="B30" s="34" t="s">
        <v>257</v>
      </c>
      <c r="C30" s="20" t="s">
        <v>258</v>
      </c>
      <c r="D30" s="35">
        <v>123</v>
      </c>
      <c r="E30" s="20" t="s">
        <v>259</v>
      </c>
      <c r="F30" s="20" t="s">
        <v>179</v>
      </c>
      <c r="G30" s="36">
        <v>40038</v>
      </c>
      <c r="H30" s="34" t="s">
        <v>163</v>
      </c>
      <c r="I30" s="37" t="s">
        <v>165</v>
      </c>
      <c r="J30" s="37" t="s">
        <v>165</v>
      </c>
      <c r="K30" s="48">
        <v>0</v>
      </c>
      <c r="L30" s="48">
        <v>0.75</v>
      </c>
      <c r="M30" s="35">
        <v>30</v>
      </c>
      <c r="N30" s="34" t="s">
        <v>166</v>
      </c>
      <c r="O30" s="4">
        <v>1000</v>
      </c>
      <c r="P30" s="35">
        <v>19</v>
      </c>
      <c r="Q30" s="35">
        <v>9</v>
      </c>
      <c r="R30" s="20" t="s">
        <v>129</v>
      </c>
      <c r="S30" s="20" t="s">
        <v>129</v>
      </c>
      <c r="T30" s="34" t="s">
        <v>129</v>
      </c>
    </row>
    <row r="31" spans="1:20" ht="14" customHeight="1">
      <c r="A31" s="4">
        <v>14</v>
      </c>
      <c r="B31" s="34" t="s">
        <v>257</v>
      </c>
      <c r="C31" s="20" t="s">
        <v>260</v>
      </c>
      <c r="D31" s="35">
        <v>8</v>
      </c>
      <c r="E31" s="20" t="s">
        <v>261</v>
      </c>
      <c r="F31" s="20" t="s">
        <v>186</v>
      </c>
      <c r="G31" s="36">
        <v>20121</v>
      </c>
      <c r="H31" s="34" t="s">
        <v>163</v>
      </c>
      <c r="I31" s="37" t="s">
        <v>195</v>
      </c>
      <c r="J31" s="37" t="s">
        <v>195</v>
      </c>
      <c r="K31" s="48">
        <v>0</v>
      </c>
      <c r="L31" s="48">
        <v>0.375</v>
      </c>
      <c r="M31" s="35">
        <v>30</v>
      </c>
      <c r="N31" s="34" t="s">
        <v>170</v>
      </c>
      <c r="O31" s="4">
        <v>1000</v>
      </c>
      <c r="P31" s="35">
        <v>19</v>
      </c>
      <c r="Q31" s="35">
        <v>9</v>
      </c>
      <c r="R31" s="20" t="s">
        <v>129</v>
      </c>
      <c r="S31" s="20" t="s">
        <v>129</v>
      </c>
      <c r="T31" s="34" t="s">
        <v>129</v>
      </c>
    </row>
    <row r="32" spans="1:20" ht="14" customHeight="1">
      <c r="A32" s="4">
        <v>15</v>
      </c>
      <c r="B32" s="34" t="s">
        <v>257</v>
      </c>
      <c r="C32" s="20" t="s">
        <v>258</v>
      </c>
      <c r="D32" s="35">
        <v>123</v>
      </c>
      <c r="E32" s="20" t="s">
        <v>259</v>
      </c>
      <c r="F32" s="20" t="s">
        <v>179</v>
      </c>
      <c r="G32" s="36">
        <v>40038</v>
      </c>
      <c r="H32" s="34" t="s">
        <v>163</v>
      </c>
      <c r="I32" s="37" t="s">
        <v>195</v>
      </c>
      <c r="J32" s="37" t="s">
        <v>195</v>
      </c>
      <c r="K32" s="48">
        <v>0</v>
      </c>
      <c r="L32" s="48">
        <v>0.75</v>
      </c>
      <c r="M32" s="35">
        <v>30</v>
      </c>
      <c r="N32" s="34" t="s">
        <v>166</v>
      </c>
      <c r="O32" s="4">
        <v>1000</v>
      </c>
      <c r="P32" s="35">
        <v>19</v>
      </c>
      <c r="Q32" s="35">
        <v>9</v>
      </c>
      <c r="R32" s="20" t="s">
        <v>129</v>
      </c>
      <c r="S32" s="20" t="s">
        <v>129</v>
      </c>
      <c r="T32" s="34" t="s">
        <v>129</v>
      </c>
    </row>
    <row r="33" spans="1:20" ht="14" customHeight="1">
      <c r="A33" s="4">
        <v>15</v>
      </c>
      <c r="B33" s="34" t="s">
        <v>257</v>
      </c>
      <c r="C33" s="20" t="s">
        <v>260</v>
      </c>
      <c r="D33" s="35">
        <v>8</v>
      </c>
      <c r="E33" s="20" t="s">
        <v>261</v>
      </c>
      <c r="F33" s="20" t="s">
        <v>186</v>
      </c>
      <c r="G33" s="36">
        <v>20121</v>
      </c>
      <c r="H33" s="34" t="s">
        <v>163</v>
      </c>
      <c r="I33" s="37" t="s">
        <v>195</v>
      </c>
      <c r="J33" s="37" t="s">
        <v>195</v>
      </c>
      <c r="K33" s="48">
        <v>0</v>
      </c>
      <c r="L33" s="48">
        <v>0.83333333333333337</v>
      </c>
      <c r="M33" s="35">
        <v>30</v>
      </c>
      <c r="N33" s="34" t="s">
        <v>170</v>
      </c>
      <c r="O33" s="4">
        <v>1000</v>
      </c>
      <c r="P33" s="35">
        <v>19</v>
      </c>
      <c r="Q33" s="35">
        <v>9</v>
      </c>
      <c r="R33" s="20" t="s">
        <v>129</v>
      </c>
      <c r="S33" s="20" t="s">
        <v>129</v>
      </c>
      <c r="T33" s="34" t="s">
        <v>129</v>
      </c>
    </row>
    <row r="34" spans="1:20" ht="14" customHeight="1">
      <c r="A34" s="35">
        <v>16</v>
      </c>
      <c r="B34" s="34" t="s">
        <v>257</v>
      </c>
      <c r="C34" s="34" t="s">
        <v>258</v>
      </c>
      <c r="D34" s="35">
        <v>123</v>
      </c>
      <c r="E34" s="34" t="s">
        <v>259</v>
      </c>
      <c r="F34" s="34" t="s">
        <v>179</v>
      </c>
      <c r="G34" s="36">
        <v>40038</v>
      </c>
      <c r="H34" s="34" t="s">
        <v>163</v>
      </c>
      <c r="I34" s="37" t="s">
        <v>195</v>
      </c>
      <c r="J34" s="37" t="s">
        <v>195</v>
      </c>
      <c r="K34" s="48">
        <v>0</v>
      </c>
      <c r="L34" s="48">
        <v>0.75</v>
      </c>
      <c r="M34" s="35">
        <v>30</v>
      </c>
      <c r="N34" s="34" t="s">
        <v>166</v>
      </c>
      <c r="O34" s="35">
        <v>1000</v>
      </c>
      <c r="P34" s="35">
        <v>19</v>
      </c>
      <c r="Q34" s="35">
        <v>8</v>
      </c>
      <c r="R34" s="34" t="s">
        <v>129</v>
      </c>
      <c r="S34" s="34" t="s">
        <v>129</v>
      </c>
      <c r="T34" s="34" t="s">
        <v>129</v>
      </c>
    </row>
    <row r="35" spans="1:20" ht="14" customHeight="1">
      <c r="A35" s="35">
        <v>16</v>
      </c>
      <c r="B35" s="34" t="s">
        <v>257</v>
      </c>
      <c r="C35" s="34" t="s">
        <v>260</v>
      </c>
      <c r="D35" s="35">
        <v>8</v>
      </c>
      <c r="E35" s="34" t="s">
        <v>261</v>
      </c>
      <c r="F35" s="34" t="s">
        <v>186</v>
      </c>
      <c r="G35" s="36">
        <v>20121</v>
      </c>
      <c r="H35" s="34" t="s">
        <v>163</v>
      </c>
      <c r="I35" s="37" t="s">
        <v>195</v>
      </c>
      <c r="J35" s="37" t="s">
        <v>195</v>
      </c>
      <c r="K35" s="48">
        <v>0</v>
      </c>
      <c r="L35" s="48">
        <v>0.83333333333333337</v>
      </c>
      <c r="M35" s="35">
        <v>30</v>
      </c>
      <c r="N35" s="34" t="s">
        <v>170</v>
      </c>
      <c r="O35" s="35">
        <v>1000</v>
      </c>
      <c r="P35" s="35">
        <v>19</v>
      </c>
      <c r="Q35" s="35">
        <v>8</v>
      </c>
      <c r="R35" s="34" t="s">
        <v>129</v>
      </c>
      <c r="S35" s="34" t="s">
        <v>129</v>
      </c>
      <c r="T35" s="34" t="s">
        <v>129</v>
      </c>
    </row>
    <row r="36" spans="1:20" ht="14" customHeight="1">
      <c r="A36" s="35">
        <v>17</v>
      </c>
      <c r="B36" s="34" t="s">
        <v>257</v>
      </c>
      <c r="C36" s="34" t="s">
        <v>258</v>
      </c>
      <c r="D36" s="35">
        <v>123</v>
      </c>
      <c r="E36" s="34" t="s">
        <v>259</v>
      </c>
      <c r="F36" s="34" t="s">
        <v>179</v>
      </c>
      <c r="G36" s="36">
        <v>40038</v>
      </c>
      <c r="H36" s="34" t="s">
        <v>163</v>
      </c>
      <c r="I36" s="37" t="s">
        <v>195</v>
      </c>
      <c r="J36" s="37" t="s">
        <v>195</v>
      </c>
      <c r="K36" s="48">
        <v>0</v>
      </c>
      <c r="L36" s="48">
        <v>0.75</v>
      </c>
      <c r="M36" s="35">
        <v>30</v>
      </c>
      <c r="N36" s="34" t="s">
        <v>166</v>
      </c>
      <c r="O36" s="35">
        <v>1000</v>
      </c>
      <c r="P36" s="35">
        <v>19</v>
      </c>
      <c r="Q36" s="35">
        <v>9</v>
      </c>
      <c r="R36" s="34" t="s">
        <v>129</v>
      </c>
      <c r="S36" s="34" t="s">
        <v>129</v>
      </c>
      <c r="T36" s="34" t="s">
        <v>129</v>
      </c>
    </row>
    <row r="37" spans="1:20" ht="14" customHeight="1">
      <c r="A37" s="35">
        <v>17</v>
      </c>
      <c r="B37" s="34" t="s">
        <v>257</v>
      </c>
      <c r="C37" s="34" t="s">
        <v>260</v>
      </c>
      <c r="D37" s="35">
        <v>8</v>
      </c>
      <c r="E37" s="34" t="s">
        <v>261</v>
      </c>
      <c r="F37" s="34" t="s">
        <v>186</v>
      </c>
      <c r="G37" s="36">
        <v>20121</v>
      </c>
      <c r="H37" s="34" t="s">
        <v>163</v>
      </c>
      <c r="I37" s="37" t="s">
        <v>252</v>
      </c>
      <c r="J37" s="37" t="s">
        <v>252</v>
      </c>
      <c r="K37" s="48">
        <v>0</v>
      </c>
      <c r="L37" s="48">
        <v>0.33333333333333331</v>
      </c>
      <c r="M37" s="35">
        <v>30</v>
      </c>
      <c r="N37" s="34" t="s">
        <v>170</v>
      </c>
      <c r="O37" s="35">
        <v>1000</v>
      </c>
      <c r="P37" s="35">
        <v>19</v>
      </c>
      <c r="Q37" s="35">
        <v>9</v>
      </c>
      <c r="R37" s="34" t="s">
        <v>129</v>
      </c>
      <c r="S37" s="34" t="s">
        <v>129</v>
      </c>
      <c r="T37" s="34" t="s">
        <v>129</v>
      </c>
    </row>
    <row r="38" spans="1:20" ht="14" customHeight="1">
      <c r="A38" s="35">
        <v>18</v>
      </c>
      <c r="B38" s="34" t="s">
        <v>257</v>
      </c>
      <c r="C38" s="34" t="s">
        <v>258</v>
      </c>
      <c r="D38" s="35">
        <v>123</v>
      </c>
      <c r="E38" s="34" t="s">
        <v>259</v>
      </c>
      <c r="F38" s="34" t="s">
        <v>179</v>
      </c>
      <c r="G38" s="36">
        <v>40038</v>
      </c>
      <c r="H38" s="34" t="s">
        <v>163</v>
      </c>
      <c r="I38" s="37" t="s">
        <v>252</v>
      </c>
      <c r="J38" s="37" t="s">
        <v>252</v>
      </c>
      <c r="K38" s="48">
        <v>0</v>
      </c>
      <c r="L38" s="48">
        <v>0.75</v>
      </c>
      <c r="M38" s="35">
        <v>30</v>
      </c>
      <c r="N38" s="34" t="s">
        <v>166</v>
      </c>
      <c r="O38" s="35">
        <v>1000</v>
      </c>
      <c r="P38" s="35">
        <v>19</v>
      </c>
      <c r="Q38" s="35">
        <v>9</v>
      </c>
      <c r="R38" s="34" t="s">
        <v>129</v>
      </c>
      <c r="S38" s="34" t="s">
        <v>129</v>
      </c>
      <c r="T38" s="34" t="s">
        <v>129</v>
      </c>
    </row>
    <row r="39" spans="1:20" ht="14" customHeight="1">
      <c r="A39" s="35">
        <v>18</v>
      </c>
      <c r="B39" s="34" t="s">
        <v>257</v>
      </c>
      <c r="C39" s="34" t="s">
        <v>260</v>
      </c>
      <c r="D39" s="35">
        <v>8</v>
      </c>
      <c r="E39" s="34" t="s">
        <v>261</v>
      </c>
      <c r="F39" s="34" t="s">
        <v>186</v>
      </c>
      <c r="G39" s="36">
        <v>20121</v>
      </c>
      <c r="H39" s="34" t="s">
        <v>163</v>
      </c>
      <c r="I39" s="37" t="s">
        <v>252</v>
      </c>
      <c r="J39" s="37" t="s">
        <v>252</v>
      </c>
      <c r="K39" s="48">
        <v>0</v>
      </c>
      <c r="L39" s="48">
        <v>0.33333333333333331</v>
      </c>
      <c r="M39" s="35">
        <v>30</v>
      </c>
      <c r="N39" s="34" t="s">
        <v>170</v>
      </c>
      <c r="O39" s="35">
        <v>1000</v>
      </c>
      <c r="P39" s="35">
        <v>19</v>
      </c>
      <c r="Q39" s="35">
        <v>9</v>
      </c>
      <c r="R39" s="34" t="s">
        <v>129</v>
      </c>
      <c r="S39" s="34" t="s">
        <v>129</v>
      </c>
      <c r="T39" s="34" t="s">
        <v>129</v>
      </c>
    </row>
    <row r="40" spans="1:20" ht="14" customHeight="1">
      <c r="A40" s="35">
        <v>19</v>
      </c>
      <c r="B40" s="34" t="s">
        <v>257</v>
      </c>
      <c r="C40" s="34" t="s">
        <v>258</v>
      </c>
      <c r="D40" s="35">
        <v>123</v>
      </c>
      <c r="E40" s="34" t="s">
        <v>259</v>
      </c>
      <c r="F40" s="34" t="s">
        <v>179</v>
      </c>
      <c r="G40" s="36">
        <v>40038</v>
      </c>
      <c r="H40" s="34" t="s">
        <v>163</v>
      </c>
      <c r="I40" s="37" t="s">
        <v>262</v>
      </c>
      <c r="J40" s="37" t="s">
        <v>262</v>
      </c>
      <c r="K40" s="48">
        <v>0</v>
      </c>
      <c r="L40" s="48">
        <v>0.75</v>
      </c>
      <c r="M40" s="35">
        <v>30</v>
      </c>
      <c r="N40" s="34" t="s">
        <v>166</v>
      </c>
      <c r="O40" s="35">
        <v>1000</v>
      </c>
      <c r="P40" s="35">
        <v>19</v>
      </c>
      <c r="Q40" s="35">
        <v>9</v>
      </c>
      <c r="R40" s="34" t="s">
        <v>129</v>
      </c>
      <c r="S40" s="34" t="s">
        <v>129</v>
      </c>
      <c r="T40" s="34" t="s">
        <v>129</v>
      </c>
    </row>
    <row r="41" spans="1:20" ht="14" customHeight="1">
      <c r="A41" s="35">
        <v>19</v>
      </c>
      <c r="B41" s="34" t="s">
        <v>257</v>
      </c>
      <c r="C41" s="34" t="s">
        <v>260</v>
      </c>
      <c r="D41" s="35">
        <v>8</v>
      </c>
      <c r="E41" s="34" t="s">
        <v>261</v>
      </c>
      <c r="F41" s="34" t="s">
        <v>186</v>
      </c>
      <c r="G41" s="36">
        <v>20121</v>
      </c>
      <c r="H41" s="34" t="s">
        <v>163</v>
      </c>
      <c r="I41" s="37" t="s">
        <v>262</v>
      </c>
      <c r="J41" s="37" t="s">
        <v>262</v>
      </c>
      <c r="K41" s="48">
        <v>0</v>
      </c>
      <c r="L41" s="48">
        <v>0.375</v>
      </c>
      <c r="M41" s="35">
        <v>30</v>
      </c>
      <c r="N41" s="34" t="s">
        <v>170</v>
      </c>
      <c r="O41" s="35">
        <v>1000</v>
      </c>
      <c r="P41" s="35">
        <v>19</v>
      </c>
      <c r="Q41" s="35">
        <v>9</v>
      </c>
      <c r="R41" s="34" t="s">
        <v>129</v>
      </c>
      <c r="S41" s="34" t="s">
        <v>129</v>
      </c>
      <c r="T41" s="34" t="s">
        <v>129</v>
      </c>
    </row>
    <row r="42" spans="1:20" ht="18.75" customHeight="1">
      <c r="A42" s="4">
        <v>20</v>
      </c>
      <c r="B42" s="34" t="s">
        <v>179</v>
      </c>
      <c r="C42" s="20" t="s">
        <v>263</v>
      </c>
      <c r="D42" s="35">
        <v>82</v>
      </c>
      <c r="E42" s="20" t="s">
        <v>161</v>
      </c>
      <c r="F42" s="20" t="s">
        <v>162</v>
      </c>
      <c r="G42" s="36">
        <v>14100</v>
      </c>
      <c r="H42" s="34" t="s">
        <v>163</v>
      </c>
      <c r="I42" s="37" t="s">
        <v>164</v>
      </c>
      <c r="J42" s="37" t="s">
        <v>165</v>
      </c>
      <c r="K42" s="48">
        <v>0</v>
      </c>
      <c r="L42" s="48">
        <v>0.99930555555555556</v>
      </c>
      <c r="M42" s="35">
        <v>30</v>
      </c>
      <c r="N42" s="34" t="s">
        <v>235</v>
      </c>
      <c r="O42" s="35">
        <v>350</v>
      </c>
      <c r="P42" s="35">
        <v>5</v>
      </c>
      <c r="Q42" s="4">
        <v>5</v>
      </c>
      <c r="R42" s="20" t="s">
        <v>129</v>
      </c>
      <c r="S42" s="20" t="s">
        <v>129</v>
      </c>
      <c r="T42" s="34" t="s">
        <v>129</v>
      </c>
    </row>
    <row r="43" spans="1:20" ht="18.75" customHeight="1">
      <c r="A43" s="4">
        <v>20</v>
      </c>
      <c r="B43" s="34" t="s">
        <v>264</v>
      </c>
      <c r="C43" s="20" t="s">
        <v>265</v>
      </c>
      <c r="D43" s="35">
        <v>10</v>
      </c>
      <c r="E43" s="20" t="s">
        <v>266</v>
      </c>
      <c r="F43" s="20" t="s">
        <v>232</v>
      </c>
      <c r="G43" s="36">
        <v>20875</v>
      </c>
      <c r="H43" s="34" t="s">
        <v>163</v>
      </c>
      <c r="I43" s="37" t="s">
        <v>165</v>
      </c>
      <c r="J43" s="37" t="s">
        <v>165</v>
      </c>
      <c r="K43" s="48">
        <v>0</v>
      </c>
      <c r="L43" s="48">
        <v>0.75</v>
      </c>
      <c r="M43" s="35">
        <v>30</v>
      </c>
      <c r="N43" s="34" t="s">
        <v>191</v>
      </c>
      <c r="O43" s="35">
        <v>350</v>
      </c>
      <c r="P43" s="35">
        <v>5</v>
      </c>
      <c r="Q43" s="4">
        <v>5</v>
      </c>
      <c r="R43" s="20" t="s">
        <v>129</v>
      </c>
      <c r="S43" s="20" t="s">
        <v>129</v>
      </c>
      <c r="T43" s="34" t="s">
        <v>129</v>
      </c>
    </row>
    <row r="44" spans="1:20" ht="18.75" customHeight="1">
      <c r="A44" s="4">
        <v>21</v>
      </c>
      <c r="B44" s="34" t="s">
        <v>179</v>
      </c>
      <c r="C44" s="20" t="s">
        <v>160</v>
      </c>
      <c r="D44" s="35">
        <v>82</v>
      </c>
      <c r="E44" s="20" t="s">
        <v>161</v>
      </c>
      <c r="F44" s="20" t="s">
        <v>162</v>
      </c>
      <c r="G44" s="36">
        <v>14100</v>
      </c>
      <c r="H44" s="34" t="s">
        <v>163</v>
      </c>
      <c r="I44" s="37" t="s">
        <v>164</v>
      </c>
      <c r="J44" s="37" t="s">
        <v>165</v>
      </c>
      <c r="K44" s="48">
        <v>0</v>
      </c>
      <c r="L44" s="48">
        <v>0.99930555555555556</v>
      </c>
      <c r="M44" s="35">
        <v>30</v>
      </c>
      <c r="N44" s="34" t="s">
        <v>235</v>
      </c>
      <c r="O44" s="35">
        <v>100</v>
      </c>
      <c r="P44" s="35">
        <v>7</v>
      </c>
      <c r="Q44" s="35">
        <v>8</v>
      </c>
      <c r="R44" s="20" t="s">
        <v>129</v>
      </c>
      <c r="S44" s="20" t="s">
        <v>129</v>
      </c>
      <c r="T44" s="34" t="s">
        <v>129</v>
      </c>
    </row>
    <row r="45" spans="1:20" ht="18.75" customHeight="1">
      <c r="A45" s="4">
        <v>21</v>
      </c>
      <c r="B45" s="34" t="s">
        <v>267</v>
      </c>
      <c r="C45" s="20" t="s">
        <v>268</v>
      </c>
      <c r="D45" s="35">
        <v>48</v>
      </c>
      <c r="E45" s="20" t="s">
        <v>269</v>
      </c>
      <c r="F45" s="20" t="s">
        <v>232</v>
      </c>
      <c r="G45" s="36">
        <v>20838</v>
      </c>
      <c r="H45" s="34" t="s">
        <v>163</v>
      </c>
      <c r="I45" s="37" t="s">
        <v>165</v>
      </c>
      <c r="J45" s="37" t="s">
        <v>165</v>
      </c>
      <c r="K45" s="48">
        <v>0</v>
      </c>
      <c r="L45" s="48">
        <v>0.75</v>
      </c>
      <c r="M45" s="35">
        <v>30</v>
      </c>
      <c r="N45" s="34" t="s">
        <v>191</v>
      </c>
      <c r="O45" s="35">
        <v>100</v>
      </c>
      <c r="P45" s="35">
        <v>7</v>
      </c>
      <c r="Q45" s="35">
        <v>8</v>
      </c>
      <c r="R45" s="20" t="s">
        <v>129</v>
      </c>
      <c r="S45" s="20" t="s">
        <v>129</v>
      </c>
      <c r="T45" s="34" t="s">
        <v>129</v>
      </c>
    </row>
    <row r="46" spans="1:20" ht="18.75" customHeight="1">
      <c r="A46" s="4">
        <v>22</v>
      </c>
      <c r="B46" s="34" t="s">
        <v>270</v>
      </c>
      <c r="C46" s="20" t="s">
        <v>160</v>
      </c>
      <c r="D46" s="35">
        <v>82</v>
      </c>
      <c r="E46" s="20" t="s">
        <v>161</v>
      </c>
      <c r="F46" s="20" t="s">
        <v>162</v>
      </c>
      <c r="G46" s="36">
        <v>14100</v>
      </c>
      <c r="H46" s="34" t="s">
        <v>163</v>
      </c>
      <c r="I46" s="37" t="s">
        <v>271</v>
      </c>
      <c r="J46" s="37" t="s">
        <v>164</v>
      </c>
      <c r="K46" s="48">
        <v>0</v>
      </c>
      <c r="L46" s="49">
        <v>0.99930555555555556</v>
      </c>
      <c r="M46" s="35">
        <v>30</v>
      </c>
      <c r="N46" s="34" t="s">
        <v>166</v>
      </c>
      <c r="O46" s="35">
        <v>300</v>
      </c>
      <c r="P46" s="4">
        <v>2</v>
      </c>
      <c r="Q46" s="35">
        <v>2</v>
      </c>
      <c r="R46" s="20" t="s">
        <v>129</v>
      </c>
      <c r="S46" s="20" t="s">
        <v>129</v>
      </c>
      <c r="T46" s="34" t="s">
        <v>129</v>
      </c>
    </row>
    <row r="47" spans="1:20" ht="18.75" customHeight="1">
      <c r="A47" s="4">
        <v>22</v>
      </c>
      <c r="B47" s="34" t="s">
        <v>270</v>
      </c>
      <c r="C47" s="20" t="s">
        <v>272</v>
      </c>
      <c r="D47" s="35">
        <v>1</v>
      </c>
      <c r="E47" s="20" t="s">
        <v>273</v>
      </c>
      <c r="F47" s="20" t="s">
        <v>228</v>
      </c>
      <c r="G47" s="36">
        <v>21020</v>
      </c>
      <c r="H47" s="34" t="s">
        <v>163</v>
      </c>
      <c r="I47" s="37" t="s">
        <v>271</v>
      </c>
      <c r="J47" s="37" t="s">
        <v>164</v>
      </c>
      <c r="K47" s="48">
        <v>0</v>
      </c>
      <c r="L47" s="48">
        <v>0.75</v>
      </c>
      <c r="M47" s="35">
        <v>30</v>
      </c>
      <c r="N47" s="34" t="s">
        <v>170</v>
      </c>
      <c r="O47" s="35">
        <v>300</v>
      </c>
      <c r="P47" s="35">
        <v>2</v>
      </c>
      <c r="Q47" s="35">
        <v>2</v>
      </c>
      <c r="R47" s="20" t="s">
        <v>129</v>
      </c>
      <c r="S47" s="20" t="s">
        <v>129</v>
      </c>
      <c r="T47" s="34" t="s">
        <v>129</v>
      </c>
    </row>
    <row r="48" spans="1:20" ht="18.75" customHeight="1">
      <c r="A48" s="4">
        <v>23</v>
      </c>
      <c r="B48" s="20" t="s">
        <v>270</v>
      </c>
      <c r="C48" s="20" t="s">
        <v>160</v>
      </c>
      <c r="D48" s="4">
        <v>82</v>
      </c>
      <c r="E48" s="20" t="s">
        <v>161</v>
      </c>
      <c r="F48" s="20" t="s">
        <v>162</v>
      </c>
      <c r="G48" s="39">
        <v>14100</v>
      </c>
      <c r="H48" s="20" t="s">
        <v>163</v>
      </c>
      <c r="I48" s="40" t="s">
        <v>271</v>
      </c>
      <c r="J48" s="40" t="s">
        <v>164</v>
      </c>
      <c r="K48" s="48">
        <v>0</v>
      </c>
      <c r="L48" s="49">
        <v>0.99930555555555556</v>
      </c>
      <c r="M48" s="4">
        <v>30</v>
      </c>
      <c r="N48" s="20" t="s">
        <v>166</v>
      </c>
      <c r="O48" s="4">
        <v>300</v>
      </c>
      <c r="P48" s="4">
        <v>3</v>
      </c>
      <c r="Q48" s="4">
        <v>6</v>
      </c>
      <c r="R48" s="20" t="s">
        <v>129</v>
      </c>
      <c r="S48" s="20" t="s">
        <v>129</v>
      </c>
      <c r="T48" s="20" t="s">
        <v>130</v>
      </c>
    </row>
    <row r="49" spans="1:20" ht="18.75" customHeight="1">
      <c r="A49" s="4">
        <v>23</v>
      </c>
      <c r="B49" s="20" t="s">
        <v>270</v>
      </c>
      <c r="C49" s="20" t="s">
        <v>274</v>
      </c>
      <c r="D49" s="4">
        <v>49</v>
      </c>
      <c r="E49" s="20" t="s">
        <v>275</v>
      </c>
      <c r="F49" s="20" t="s">
        <v>186</v>
      </c>
      <c r="G49" s="39">
        <v>20011</v>
      </c>
      <c r="H49" s="20" t="s">
        <v>163</v>
      </c>
      <c r="I49" s="40" t="s">
        <v>271</v>
      </c>
      <c r="J49" s="40" t="s">
        <v>164</v>
      </c>
      <c r="K49" s="48">
        <v>0</v>
      </c>
      <c r="L49" s="48">
        <v>0.75</v>
      </c>
      <c r="M49" s="4">
        <v>30</v>
      </c>
      <c r="N49" s="20" t="s">
        <v>170</v>
      </c>
      <c r="O49" s="4">
        <v>300</v>
      </c>
      <c r="P49" s="4">
        <v>3</v>
      </c>
      <c r="Q49" s="4">
        <v>6</v>
      </c>
      <c r="R49" s="20" t="s">
        <v>129</v>
      </c>
      <c r="S49" s="20" t="s">
        <v>129</v>
      </c>
      <c r="T49" s="20" t="s">
        <v>130</v>
      </c>
    </row>
    <row r="50" spans="1:20" ht="18.75" customHeight="1">
      <c r="A50" s="4">
        <v>24</v>
      </c>
      <c r="B50" s="34" t="s">
        <v>179</v>
      </c>
      <c r="C50" s="20" t="s">
        <v>160</v>
      </c>
      <c r="D50" s="35">
        <v>82</v>
      </c>
      <c r="E50" s="20" t="s">
        <v>161</v>
      </c>
      <c r="F50" s="20" t="s">
        <v>162</v>
      </c>
      <c r="G50" s="36">
        <v>14100</v>
      </c>
      <c r="H50" s="34" t="s">
        <v>163</v>
      </c>
      <c r="I50" s="37" t="s">
        <v>271</v>
      </c>
      <c r="J50" s="37" t="s">
        <v>164</v>
      </c>
      <c r="K50" s="48">
        <v>0</v>
      </c>
      <c r="L50" s="48">
        <v>0.99930555555555556</v>
      </c>
      <c r="M50" s="35">
        <v>30</v>
      </c>
      <c r="N50" s="34" t="s">
        <v>166</v>
      </c>
      <c r="O50" s="4">
        <v>200</v>
      </c>
      <c r="P50" s="4">
        <v>1</v>
      </c>
      <c r="Q50" s="35">
        <v>1</v>
      </c>
      <c r="R50" s="20" t="s">
        <v>129</v>
      </c>
      <c r="S50" s="20" t="s">
        <v>129</v>
      </c>
      <c r="T50" s="34" t="s">
        <v>129</v>
      </c>
    </row>
    <row r="51" spans="1:20" ht="18.75" customHeight="1">
      <c r="A51" s="4">
        <v>24</v>
      </c>
      <c r="B51" s="34" t="s">
        <v>179</v>
      </c>
      <c r="C51" s="20" t="s">
        <v>276</v>
      </c>
      <c r="D51" s="35">
        <v>2</v>
      </c>
      <c r="E51" s="20" t="s">
        <v>277</v>
      </c>
      <c r="F51" s="20" t="s">
        <v>169</v>
      </c>
      <c r="G51" s="36">
        <v>18100</v>
      </c>
      <c r="H51" s="34" t="s">
        <v>163</v>
      </c>
      <c r="I51" s="37" t="s">
        <v>164</v>
      </c>
      <c r="J51" s="37" t="s">
        <v>164</v>
      </c>
      <c r="K51" s="48">
        <v>0.29166666666666669</v>
      </c>
      <c r="L51" s="48">
        <v>0.5</v>
      </c>
      <c r="M51" s="35">
        <v>30</v>
      </c>
      <c r="N51" s="34" t="s">
        <v>191</v>
      </c>
      <c r="O51" s="4">
        <v>200</v>
      </c>
      <c r="P51" s="4">
        <v>1</v>
      </c>
      <c r="Q51" s="35">
        <v>1</v>
      </c>
      <c r="R51" s="20" t="s">
        <v>129</v>
      </c>
      <c r="S51" s="20" t="s">
        <v>129</v>
      </c>
      <c r="T51" s="34" t="s">
        <v>129</v>
      </c>
    </row>
    <row r="52" spans="1:20" ht="18.75" customHeight="1">
      <c r="A52" s="4">
        <v>25</v>
      </c>
      <c r="B52" s="34" t="s">
        <v>278</v>
      </c>
      <c r="C52" s="20" t="s">
        <v>279</v>
      </c>
      <c r="D52" s="35">
        <v>82</v>
      </c>
      <c r="E52" s="20" t="s">
        <v>280</v>
      </c>
      <c r="F52" s="20" t="s">
        <v>162</v>
      </c>
      <c r="G52" s="36">
        <v>14100</v>
      </c>
      <c r="H52" s="34" t="s">
        <v>163</v>
      </c>
      <c r="I52" s="40" t="s">
        <v>164</v>
      </c>
      <c r="J52" s="40" t="s">
        <v>165</v>
      </c>
      <c r="K52" s="48">
        <v>0</v>
      </c>
      <c r="L52" s="48">
        <v>0.99930555555555556</v>
      </c>
      <c r="M52" s="35">
        <v>30</v>
      </c>
      <c r="N52" s="34" t="s">
        <v>235</v>
      </c>
      <c r="O52" s="35">
        <v>150</v>
      </c>
      <c r="P52" s="35">
        <v>7</v>
      </c>
      <c r="Q52" s="35">
        <v>9</v>
      </c>
      <c r="R52" s="20" t="s">
        <v>129</v>
      </c>
      <c r="S52" s="20" t="s">
        <v>129</v>
      </c>
      <c r="T52" s="34" t="s">
        <v>129</v>
      </c>
    </row>
    <row r="53" spans="1:20" ht="18.75" customHeight="1">
      <c r="A53" s="4">
        <v>25</v>
      </c>
      <c r="B53" s="34" t="s">
        <v>281</v>
      </c>
      <c r="C53" s="20" t="s">
        <v>282</v>
      </c>
      <c r="D53" s="35">
        <v>1</v>
      </c>
      <c r="E53" s="20" t="s">
        <v>223</v>
      </c>
      <c r="F53" s="20" t="s">
        <v>224</v>
      </c>
      <c r="G53" s="36">
        <v>13100</v>
      </c>
      <c r="H53" s="34" t="s">
        <v>163</v>
      </c>
      <c r="I53" s="37" t="s">
        <v>164</v>
      </c>
      <c r="J53" s="40" t="s">
        <v>165</v>
      </c>
      <c r="K53" s="48">
        <v>0</v>
      </c>
      <c r="L53" s="48">
        <v>0.75</v>
      </c>
      <c r="M53" s="35">
        <v>30</v>
      </c>
      <c r="N53" s="34" t="s">
        <v>170</v>
      </c>
      <c r="O53" s="35">
        <v>150</v>
      </c>
      <c r="P53" s="35">
        <v>7</v>
      </c>
      <c r="Q53" s="35">
        <v>9</v>
      </c>
      <c r="R53" s="20" t="s">
        <v>129</v>
      </c>
      <c r="S53" s="20" t="s">
        <v>129</v>
      </c>
      <c r="T53" s="34" t="s">
        <v>129</v>
      </c>
    </row>
    <row r="54" spans="1:20" ht="18.75" customHeight="1">
      <c r="A54" s="4">
        <v>26</v>
      </c>
      <c r="B54" s="34" t="s">
        <v>192</v>
      </c>
      <c r="C54" s="20" t="s">
        <v>283</v>
      </c>
      <c r="D54" s="35">
        <v>1</v>
      </c>
      <c r="E54" s="20" t="s">
        <v>284</v>
      </c>
      <c r="F54" s="20" t="s">
        <v>129</v>
      </c>
      <c r="G54" s="36">
        <v>28100</v>
      </c>
      <c r="H54" s="34" t="s">
        <v>163</v>
      </c>
      <c r="I54" s="37" t="s">
        <v>165</v>
      </c>
      <c r="J54" s="37" t="s">
        <v>165</v>
      </c>
      <c r="K54" s="48">
        <v>0</v>
      </c>
      <c r="L54" s="48">
        <v>0.99930555555555556</v>
      </c>
      <c r="M54" s="35">
        <v>30</v>
      </c>
      <c r="N54" s="34" t="s">
        <v>166</v>
      </c>
      <c r="O54" s="35">
        <v>9600</v>
      </c>
      <c r="P54" s="4">
        <v>15</v>
      </c>
      <c r="Q54" s="35">
        <v>16</v>
      </c>
      <c r="R54" s="20" t="s">
        <v>129</v>
      </c>
      <c r="S54" s="20" t="s">
        <v>130</v>
      </c>
      <c r="T54" s="34" t="s">
        <v>129</v>
      </c>
    </row>
    <row r="55" spans="1:20" ht="18.75" customHeight="1">
      <c r="A55" s="4">
        <v>26</v>
      </c>
      <c r="B55" s="20" t="s">
        <v>285</v>
      </c>
      <c r="C55" s="20" t="s">
        <v>286</v>
      </c>
      <c r="D55" s="4">
        <v>57</v>
      </c>
      <c r="E55" s="20" t="s">
        <v>287</v>
      </c>
      <c r="F55" s="20" t="s">
        <v>288</v>
      </c>
      <c r="G55" s="39">
        <v>33170</v>
      </c>
      <c r="H55" s="20" t="s">
        <v>163</v>
      </c>
      <c r="I55" s="40" t="s">
        <v>195</v>
      </c>
      <c r="J55" s="40" t="s">
        <v>195</v>
      </c>
      <c r="K55" s="48">
        <v>0</v>
      </c>
      <c r="L55" s="48">
        <v>0.99930555555555556</v>
      </c>
      <c r="M55" s="4">
        <v>30</v>
      </c>
      <c r="N55" s="20" t="s">
        <v>191</v>
      </c>
      <c r="O55" s="4">
        <v>9600</v>
      </c>
      <c r="P55" s="35">
        <v>15</v>
      </c>
      <c r="Q55" s="4">
        <v>16</v>
      </c>
      <c r="R55" s="20" t="s">
        <v>129</v>
      </c>
      <c r="S55" s="20" t="s">
        <v>130</v>
      </c>
      <c r="T55" s="20" t="s">
        <v>129</v>
      </c>
    </row>
    <row r="56" spans="1:20" ht="18.75" customHeight="1">
      <c r="A56" s="4">
        <v>27</v>
      </c>
      <c r="B56" s="20" t="s">
        <v>289</v>
      </c>
      <c r="C56" s="20" t="s">
        <v>290</v>
      </c>
      <c r="D56" s="4">
        <v>13</v>
      </c>
      <c r="E56" s="20" t="s">
        <v>261</v>
      </c>
      <c r="F56" s="20" t="s">
        <v>186</v>
      </c>
      <c r="G56" s="39">
        <v>20161</v>
      </c>
      <c r="H56" s="20" t="s">
        <v>163</v>
      </c>
      <c r="I56" s="40" t="s">
        <v>165</v>
      </c>
      <c r="J56" s="40" t="s">
        <v>165</v>
      </c>
      <c r="K56" s="48">
        <v>0.45833333333333331</v>
      </c>
      <c r="L56" s="48">
        <v>0.99930555555555556</v>
      </c>
      <c r="M56" s="4">
        <v>30</v>
      </c>
      <c r="N56" s="20" t="s">
        <v>235</v>
      </c>
      <c r="O56" s="4">
        <v>60</v>
      </c>
      <c r="P56" s="4">
        <v>1</v>
      </c>
      <c r="Q56" s="4">
        <v>1</v>
      </c>
      <c r="R56" s="20" t="s">
        <v>129</v>
      </c>
      <c r="S56" s="20" t="s">
        <v>129</v>
      </c>
      <c r="T56" s="20" t="s">
        <v>129</v>
      </c>
    </row>
    <row r="57" spans="1:20" ht="18.75" customHeight="1">
      <c r="A57" s="4">
        <v>27</v>
      </c>
      <c r="B57" s="20" t="s">
        <v>291</v>
      </c>
      <c r="C57" s="20" t="s">
        <v>292</v>
      </c>
      <c r="D57" s="4">
        <v>1</v>
      </c>
      <c r="E57" s="20" t="s">
        <v>293</v>
      </c>
      <c r="F57" s="20" t="s">
        <v>186</v>
      </c>
      <c r="G57" s="39">
        <v>20054</v>
      </c>
      <c r="H57" s="20" t="s">
        <v>163</v>
      </c>
      <c r="I57" s="40" t="s">
        <v>165</v>
      </c>
      <c r="J57" s="40" t="s">
        <v>165</v>
      </c>
      <c r="K57" s="48">
        <v>0</v>
      </c>
      <c r="L57" s="48">
        <v>0.70833333333333337</v>
      </c>
      <c r="M57" s="4">
        <v>30</v>
      </c>
      <c r="N57" s="20" t="s">
        <v>191</v>
      </c>
      <c r="O57" s="4">
        <v>60</v>
      </c>
      <c r="P57" s="4">
        <v>1</v>
      </c>
      <c r="Q57" s="4">
        <v>1</v>
      </c>
      <c r="R57" s="20" t="s">
        <v>129</v>
      </c>
      <c r="S57" s="20" t="s">
        <v>129</v>
      </c>
      <c r="T57" s="20" t="s">
        <v>129</v>
      </c>
    </row>
    <row r="58" spans="1:20" ht="18.75" customHeight="1">
      <c r="A58" s="4">
        <v>28</v>
      </c>
      <c r="B58" s="20" t="s">
        <v>294</v>
      </c>
      <c r="C58" s="20" t="s">
        <v>295</v>
      </c>
      <c r="D58" s="4">
        <v>6</v>
      </c>
      <c r="E58" s="20" t="s">
        <v>296</v>
      </c>
      <c r="F58" s="20" t="s">
        <v>211</v>
      </c>
      <c r="G58" s="39">
        <v>24030</v>
      </c>
      <c r="H58" s="20" t="s">
        <v>163</v>
      </c>
      <c r="I58" s="40" t="s">
        <v>165</v>
      </c>
      <c r="J58" s="40" t="s">
        <v>165</v>
      </c>
      <c r="K58" s="48">
        <v>0.33333333333333331</v>
      </c>
      <c r="L58" s="48">
        <v>0.70833333333333337</v>
      </c>
      <c r="M58" s="4">
        <v>30</v>
      </c>
      <c r="N58" s="20" t="s">
        <v>235</v>
      </c>
      <c r="O58" s="4">
        <v>81</v>
      </c>
      <c r="P58" s="4">
        <v>1</v>
      </c>
      <c r="Q58" s="4">
        <v>2</v>
      </c>
      <c r="R58" s="20" t="s">
        <v>129</v>
      </c>
      <c r="S58" s="20" t="s">
        <v>130</v>
      </c>
      <c r="T58" s="20" t="s">
        <v>129</v>
      </c>
    </row>
    <row r="59" spans="1:20" ht="18.75" customHeight="1">
      <c r="A59" s="4">
        <v>28</v>
      </c>
      <c r="B59" s="20" t="s">
        <v>297</v>
      </c>
      <c r="C59" s="20" t="s">
        <v>298</v>
      </c>
      <c r="D59" s="4">
        <v>48</v>
      </c>
      <c r="E59" s="20" t="s">
        <v>299</v>
      </c>
      <c r="F59" s="20"/>
      <c r="G59" s="39">
        <v>12351</v>
      </c>
      <c r="H59" s="20" t="s">
        <v>300</v>
      </c>
      <c r="I59" s="40" t="s">
        <v>165</v>
      </c>
      <c r="J59" s="40" t="s">
        <v>243</v>
      </c>
      <c r="K59" s="48">
        <v>0.33333333333333331</v>
      </c>
      <c r="L59" s="48">
        <v>0.66666666666666663</v>
      </c>
      <c r="M59" s="4">
        <v>30</v>
      </c>
      <c r="N59" s="20" t="s">
        <v>191</v>
      </c>
      <c r="O59" s="4">
        <v>81</v>
      </c>
      <c r="P59" s="4">
        <v>1</v>
      </c>
      <c r="Q59" s="4">
        <v>2</v>
      </c>
      <c r="R59" s="20" t="s">
        <v>129</v>
      </c>
      <c r="S59" s="20" t="s">
        <v>130</v>
      </c>
      <c r="T59" s="20" t="s">
        <v>129</v>
      </c>
    </row>
    <row r="60" spans="1:20" ht="18.75" customHeight="1">
      <c r="A60" s="4">
        <v>29</v>
      </c>
      <c r="B60" s="20" t="s">
        <v>270</v>
      </c>
      <c r="C60" s="20" t="s">
        <v>160</v>
      </c>
      <c r="D60" s="4">
        <v>82</v>
      </c>
      <c r="E60" s="20" t="s">
        <v>161</v>
      </c>
      <c r="F60" s="20" t="s">
        <v>162</v>
      </c>
      <c r="G60" s="39">
        <v>14100</v>
      </c>
      <c r="H60" s="20" t="s">
        <v>163</v>
      </c>
      <c r="I60" s="40" t="s">
        <v>271</v>
      </c>
      <c r="J60" s="40" t="s">
        <v>164</v>
      </c>
      <c r="K60" s="48">
        <v>0</v>
      </c>
      <c r="L60" s="48">
        <v>0.99930555555555556</v>
      </c>
      <c r="M60" s="4">
        <v>30</v>
      </c>
      <c r="N60" s="20" t="s">
        <v>166</v>
      </c>
      <c r="O60" s="4">
        <v>300</v>
      </c>
      <c r="P60" s="4">
        <v>2</v>
      </c>
      <c r="Q60" s="4">
        <v>4</v>
      </c>
      <c r="R60" s="20" t="s">
        <v>129</v>
      </c>
      <c r="S60" s="20" t="s">
        <v>129</v>
      </c>
      <c r="T60" s="20" t="s">
        <v>130</v>
      </c>
    </row>
    <row r="61" spans="1:20" ht="18.75" customHeight="1">
      <c r="A61" s="4">
        <v>29</v>
      </c>
      <c r="B61" s="20" t="s">
        <v>301</v>
      </c>
      <c r="C61" s="20" t="s">
        <v>265</v>
      </c>
      <c r="D61" s="4">
        <v>1</v>
      </c>
      <c r="E61" s="20" t="s">
        <v>302</v>
      </c>
      <c r="F61" s="20" t="s">
        <v>211</v>
      </c>
      <c r="G61" s="39">
        <v>24035</v>
      </c>
      <c r="H61" s="20" t="s">
        <v>163</v>
      </c>
      <c r="I61" s="40" t="s">
        <v>164</v>
      </c>
      <c r="J61" s="40" t="s">
        <v>164</v>
      </c>
      <c r="K61" s="48">
        <v>0</v>
      </c>
      <c r="L61" s="48">
        <v>0.75</v>
      </c>
      <c r="M61" s="4">
        <v>30</v>
      </c>
      <c r="N61" s="20" t="s">
        <v>170</v>
      </c>
      <c r="O61" s="4">
        <v>300</v>
      </c>
      <c r="P61" s="4">
        <v>2</v>
      </c>
      <c r="Q61" s="4">
        <v>4</v>
      </c>
      <c r="R61" s="20" t="s">
        <v>129</v>
      </c>
      <c r="S61" s="20" t="s">
        <v>129</v>
      </c>
      <c r="T61" s="20" t="s">
        <v>130</v>
      </c>
    </row>
    <row r="62" spans="1:20" ht="18.75" customHeight="1">
      <c r="A62" s="4">
        <v>30</v>
      </c>
      <c r="B62" s="20" t="s">
        <v>270</v>
      </c>
      <c r="C62" s="20" t="s">
        <v>160</v>
      </c>
      <c r="D62" s="4">
        <v>82</v>
      </c>
      <c r="E62" s="20" t="s">
        <v>161</v>
      </c>
      <c r="F62" s="20" t="s">
        <v>162</v>
      </c>
      <c r="G62" s="39">
        <v>14100</v>
      </c>
      <c r="H62" s="20" t="s">
        <v>163</v>
      </c>
      <c r="I62" s="40" t="s">
        <v>271</v>
      </c>
      <c r="J62" s="40" t="s">
        <v>164</v>
      </c>
      <c r="K62" s="48">
        <v>0</v>
      </c>
      <c r="L62" s="48">
        <v>0.99930555555555556</v>
      </c>
      <c r="M62" s="4">
        <v>30</v>
      </c>
      <c r="N62" s="20" t="s">
        <v>166</v>
      </c>
      <c r="O62" s="4">
        <v>103</v>
      </c>
      <c r="P62" s="17">
        <v>0.96</v>
      </c>
      <c r="Q62" s="4">
        <v>1</v>
      </c>
      <c r="R62" s="20" t="s">
        <v>129</v>
      </c>
      <c r="S62" s="20" t="s">
        <v>129</v>
      </c>
      <c r="T62" s="20" t="s">
        <v>129</v>
      </c>
    </row>
    <row r="63" spans="1:20" ht="18.75" customHeight="1">
      <c r="A63" s="4">
        <v>30</v>
      </c>
      <c r="B63" s="20" t="s">
        <v>270</v>
      </c>
      <c r="C63" s="20" t="s">
        <v>303</v>
      </c>
      <c r="D63" s="4">
        <v>62</v>
      </c>
      <c r="E63" s="20" t="s">
        <v>304</v>
      </c>
      <c r="F63" s="20" t="s">
        <v>211</v>
      </c>
      <c r="G63" s="39">
        <v>24040</v>
      </c>
      <c r="H63" s="20" t="s">
        <v>163</v>
      </c>
      <c r="I63" s="40" t="s">
        <v>164</v>
      </c>
      <c r="J63" s="40" t="s">
        <v>164</v>
      </c>
      <c r="K63" s="48">
        <v>0</v>
      </c>
      <c r="L63" s="48">
        <v>0.75</v>
      </c>
      <c r="M63" s="4">
        <v>30</v>
      </c>
      <c r="N63" s="20" t="s">
        <v>170</v>
      </c>
      <c r="O63" s="4">
        <v>103</v>
      </c>
      <c r="P63" s="17">
        <v>0.96</v>
      </c>
      <c r="Q63" s="4">
        <v>1</v>
      </c>
      <c r="R63" s="20" t="s">
        <v>129</v>
      </c>
      <c r="S63" s="20" t="s">
        <v>129</v>
      </c>
      <c r="T63" s="20" t="s">
        <v>129</v>
      </c>
    </row>
    <row r="64" spans="1:20" ht="18.75" customHeight="1">
      <c r="A64" s="4">
        <v>31</v>
      </c>
      <c r="B64" s="20" t="s">
        <v>270</v>
      </c>
      <c r="C64" s="20" t="s">
        <v>160</v>
      </c>
      <c r="D64" s="4">
        <v>82</v>
      </c>
      <c r="E64" s="20" t="s">
        <v>161</v>
      </c>
      <c r="F64" s="20" t="s">
        <v>162</v>
      </c>
      <c r="G64" s="39">
        <v>14100</v>
      </c>
      <c r="H64" s="20" t="s">
        <v>163</v>
      </c>
      <c r="I64" s="40" t="s">
        <v>271</v>
      </c>
      <c r="J64" s="40" t="s">
        <v>164</v>
      </c>
      <c r="K64" s="48">
        <v>0</v>
      </c>
      <c r="L64" s="48">
        <v>0.75</v>
      </c>
      <c r="M64" s="4">
        <v>30</v>
      </c>
      <c r="N64" s="20" t="s">
        <v>166</v>
      </c>
      <c r="O64" s="4">
        <v>500</v>
      </c>
      <c r="P64" s="4">
        <v>7</v>
      </c>
      <c r="Q64" s="4">
        <v>8</v>
      </c>
      <c r="R64" s="20" t="s">
        <v>129</v>
      </c>
      <c r="S64" s="20" t="s">
        <v>129</v>
      </c>
      <c r="T64" s="20" t="s">
        <v>130</v>
      </c>
    </row>
    <row r="65" spans="1:20" ht="18.75" customHeight="1">
      <c r="A65" s="4">
        <v>31</v>
      </c>
      <c r="B65" s="20" t="s">
        <v>305</v>
      </c>
      <c r="C65" s="20" t="s">
        <v>306</v>
      </c>
      <c r="D65" s="4">
        <v>315</v>
      </c>
      <c r="E65" s="20" t="s">
        <v>307</v>
      </c>
      <c r="F65" s="20" t="s">
        <v>186</v>
      </c>
      <c r="G65" s="39">
        <v>20098</v>
      </c>
      <c r="H65" s="20" t="s">
        <v>163</v>
      </c>
      <c r="I65" s="40" t="s">
        <v>164</v>
      </c>
      <c r="J65" s="40" t="s">
        <v>164</v>
      </c>
      <c r="K65" s="48">
        <v>0</v>
      </c>
      <c r="L65" s="48">
        <v>0.75</v>
      </c>
      <c r="M65" s="4">
        <v>30</v>
      </c>
      <c r="N65" s="20" t="s">
        <v>170</v>
      </c>
      <c r="O65" s="4">
        <v>500</v>
      </c>
      <c r="P65" s="4">
        <v>7</v>
      </c>
      <c r="Q65" s="4">
        <v>8</v>
      </c>
      <c r="R65" s="20" t="s">
        <v>129</v>
      </c>
      <c r="S65" s="20" t="s">
        <v>129</v>
      </c>
      <c r="T65" s="20" t="s">
        <v>130</v>
      </c>
    </row>
    <row r="66" spans="1:20" ht="18.75" customHeight="1">
      <c r="A66" s="4">
        <v>32</v>
      </c>
      <c r="B66" s="20" t="s">
        <v>308</v>
      </c>
      <c r="C66" s="20" t="s">
        <v>226</v>
      </c>
      <c r="D66" s="4">
        <v>30</v>
      </c>
      <c r="E66" s="20" t="s">
        <v>227</v>
      </c>
      <c r="F66" s="20" t="s">
        <v>228</v>
      </c>
      <c r="G66" s="39">
        <v>21015</v>
      </c>
      <c r="H66" s="20" t="s">
        <v>163</v>
      </c>
      <c r="I66" s="40" t="s">
        <v>165</v>
      </c>
      <c r="J66" s="40" t="s">
        <v>165</v>
      </c>
      <c r="K66" s="48">
        <v>0</v>
      </c>
      <c r="L66" s="48">
        <v>0.75</v>
      </c>
      <c r="M66" s="4">
        <v>30</v>
      </c>
      <c r="N66" s="20" t="s">
        <v>166</v>
      </c>
      <c r="O66" s="4">
        <v>3886</v>
      </c>
      <c r="P66" s="4">
        <v>36</v>
      </c>
      <c r="Q66" s="4">
        <v>24</v>
      </c>
      <c r="R66" s="20" t="s">
        <v>130</v>
      </c>
      <c r="S66" s="20" t="s">
        <v>129</v>
      </c>
      <c r="T66" s="20" t="s">
        <v>129</v>
      </c>
    </row>
    <row r="67" spans="1:20" ht="18.75" customHeight="1">
      <c r="A67" s="4">
        <v>32</v>
      </c>
      <c r="B67" s="20" t="s">
        <v>309</v>
      </c>
      <c r="C67" s="20" t="s">
        <v>310</v>
      </c>
      <c r="D67" s="4">
        <v>270</v>
      </c>
      <c r="E67" s="20" t="s">
        <v>311</v>
      </c>
      <c r="F67" s="20" t="s">
        <v>312</v>
      </c>
      <c r="G67" s="39">
        <v>34018</v>
      </c>
      <c r="H67" s="20" t="s">
        <v>163</v>
      </c>
      <c r="I67" s="40" t="s">
        <v>195</v>
      </c>
      <c r="J67" s="40" t="s">
        <v>195</v>
      </c>
      <c r="K67" s="48">
        <v>0</v>
      </c>
      <c r="L67" s="48">
        <v>0.75</v>
      </c>
      <c r="M67" s="4">
        <v>30</v>
      </c>
      <c r="N67" s="20" t="s">
        <v>170</v>
      </c>
      <c r="O67" s="4">
        <v>3886</v>
      </c>
      <c r="P67" s="4">
        <v>36</v>
      </c>
      <c r="Q67" s="4">
        <v>24</v>
      </c>
      <c r="R67" s="20" t="s">
        <v>130</v>
      </c>
      <c r="S67" s="20" t="s">
        <v>129</v>
      </c>
      <c r="T67" s="20" t="s">
        <v>129</v>
      </c>
    </row>
    <row r="68" spans="1:20" ht="18.75" customHeight="1">
      <c r="A68" s="4">
        <v>33</v>
      </c>
      <c r="B68" s="20" t="s">
        <v>313</v>
      </c>
      <c r="C68" s="20" t="s">
        <v>314</v>
      </c>
      <c r="D68" s="4">
        <v>26</v>
      </c>
      <c r="E68" s="20" t="s">
        <v>315</v>
      </c>
      <c r="F68" s="20" t="s">
        <v>208</v>
      </c>
      <c r="G68" s="39">
        <v>10034</v>
      </c>
      <c r="H68" s="20" t="s">
        <v>163</v>
      </c>
      <c r="I68" s="40" t="s">
        <v>252</v>
      </c>
      <c r="J68" s="40" t="s">
        <v>252</v>
      </c>
      <c r="K68" s="48">
        <v>0</v>
      </c>
      <c r="L68" s="48">
        <v>0.77083333333333337</v>
      </c>
      <c r="M68" s="4">
        <v>30</v>
      </c>
      <c r="N68" s="20" t="s">
        <v>166</v>
      </c>
      <c r="O68" s="4">
        <v>24000</v>
      </c>
      <c r="P68" s="4">
        <v>13</v>
      </c>
      <c r="Q68" s="4">
        <v>13</v>
      </c>
      <c r="R68" s="20" t="s">
        <v>129</v>
      </c>
      <c r="S68" s="20" t="s">
        <v>129</v>
      </c>
      <c r="T68" s="20" t="s">
        <v>129</v>
      </c>
    </row>
    <row r="69" spans="1:20" ht="18.75" customHeight="1">
      <c r="A69" s="4">
        <v>33</v>
      </c>
      <c r="B69" s="20" t="s">
        <v>316</v>
      </c>
      <c r="C69" s="20" t="s">
        <v>317</v>
      </c>
      <c r="D69" s="4">
        <v>91</v>
      </c>
      <c r="E69" s="20" t="s">
        <v>318</v>
      </c>
      <c r="F69" s="20"/>
      <c r="G69" s="39">
        <v>57070</v>
      </c>
      <c r="H69" s="20" t="s">
        <v>319</v>
      </c>
      <c r="I69" s="40" t="s">
        <v>262</v>
      </c>
      <c r="J69" s="40" t="s">
        <v>262</v>
      </c>
      <c r="K69" s="48">
        <v>0</v>
      </c>
      <c r="L69" s="48">
        <v>0.89583333333333337</v>
      </c>
      <c r="M69" s="4">
        <v>30</v>
      </c>
      <c r="N69" s="20" t="s">
        <v>170</v>
      </c>
      <c r="O69" s="4">
        <v>24000</v>
      </c>
      <c r="P69" s="4">
        <v>13</v>
      </c>
      <c r="Q69" s="4">
        <v>13</v>
      </c>
      <c r="R69" s="20" t="s">
        <v>129</v>
      </c>
      <c r="S69" s="20" t="s">
        <v>129</v>
      </c>
      <c r="T69" s="20" t="s">
        <v>129</v>
      </c>
    </row>
    <row r="70" spans="1:20" ht="18.75" customHeight="1">
      <c r="A70" s="4">
        <v>34</v>
      </c>
      <c r="B70" s="20" t="s">
        <v>316</v>
      </c>
      <c r="C70" s="20" t="s">
        <v>317</v>
      </c>
      <c r="D70" s="4">
        <v>91</v>
      </c>
      <c r="E70" s="20" t="s">
        <v>318</v>
      </c>
      <c r="F70" s="20"/>
      <c r="G70" s="39">
        <v>57070</v>
      </c>
      <c r="H70" s="20" t="s">
        <v>319</v>
      </c>
      <c r="I70" s="40" t="s">
        <v>262</v>
      </c>
      <c r="J70" s="40" t="s">
        <v>262</v>
      </c>
      <c r="K70" s="48">
        <v>0</v>
      </c>
      <c r="L70" s="49">
        <v>0.91666666666666663</v>
      </c>
      <c r="M70" s="4">
        <v>30</v>
      </c>
      <c r="N70" s="20" t="s">
        <v>166</v>
      </c>
      <c r="O70" s="4">
        <v>24000</v>
      </c>
      <c r="P70" s="4">
        <v>13</v>
      </c>
      <c r="Q70" s="4">
        <v>13</v>
      </c>
      <c r="R70" s="20" t="s">
        <v>129</v>
      </c>
      <c r="S70" s="20" t="s">
        <v>129</v>
      </c>
      <c r="T70" s="20" t="s">
        <v>129</v>
      </c>
    </row>
    <row r="71" spans="1:20" ht="18.75" customHeight="1">
      <c r="A71" s="4">
        <v>34</v>
      </c>
      <c r="B71" s="20" t="s">
        <v>313</v>
      </c>
      <c r="C71" s="20" t="s">
        <v>320</v>
      </c>
      <c r="D71" s="4">
        <v>17</v>
      </c>
      <c r="E71" s="20" t="s">
        <v>321</v>
      </c>
      <c r="F71" s="20" t="s">
        <v>208</v>
      </c>
      <c r="G71" s="39">
        <v>10034</v>
      </c>
      <c r="H71" s="20" t="s">
        <v>163</v>
      </c>
      <c r="I71" s="40" t="s">
        <v>256</v>
      </c>
      <c r="J71" s="40" t="s">
        <v>256</v>
      </c>
      <c r="K71" s="48">
        <v>0</v>
      </c>
      <c r="L71" s="49">
        <v>0.45833333333333331</v>
      </c>
      <c r="M71" s="4">
        <v>30</v>
      </c>
      <c r="N71" s="20" t="s">
        <v>170</v>
      </c>
      <c r="O71" s="4">
        <v>24000</v>
      </c>
      <c r="P71" s="4">
        <v>13</v>
      </c>
      <c r="Q71" s="4">
        <v>13</v>
      </c>
      <c r="R71" s="20" t="s">
        <v>129</v>
      </c>
      <c r="S71" s="20" t="s">
        <v>129</v>
      </c>
      <c r="T71" s="20" t="s">
        <v>129</v>
      </c>
    </row>
    <row r="72" spans="1:20" ht="18.75" customHeight="1">
      <c r="A72" s="4">
        <v>35</v>
      </c>
      <c r="B72" s="20" t="s">
        <v>313</v>
      </c>
      <c r="C72" s="20" t="s">
        <v>314</v>
      </c>
      <c r="D72" s="4">
        <v>26</v>
      </c>
      <c r="E72" s="20" t="s">
        <v>315</v>
      </c>
      <c r="F72" s="20" t="s">
        <v>208</v>
      </c>
      <c r="G72" s="39">
        <v>10034</v>
      </c>
      <c r="H72" s="20" t="s">
        <v>163</v>
      </c>
      <c r="I72" s="40" t="s">
        <v>252</v>
      </c>
      <c r="J72" s="40" t="s">
        <v>252</v>
      </c>
      <c r="K72" s="48">
        <v>0</v>
      </c>
      <c r="L72" s="49">
        <v>0.625</v>
      </c>
      <c r="M72" s="4">
        <v>30</v>
      </c>
      <c r="N72" s="20" t="s">
        <v>166</v>
      </c>
      <c r="O72" s="4">
        <v>24000</v>
      </c>
      <c r="P72" s="4">
        <v>13</v>
      </c>
      <c r="Q72" s="4">
        <v>13</v>
      </c>
      <c r="R72" s="20" t="s">
        <v>129</v>
      </c>
      <c r="S72" s="20" t="s">
        <v>129</v>
      </c>
      <c r="T72" s="20" t="s">
        <v>129</v>
      </c>
    </row>
    <row r="73" spans="1:20" ht="18.75" customHeight="1">
      <c r="A73" s="4">
        <v>35</v>
      </c>
      <c r="B73" s="20" t="s">
        <v>316</v>
      </c>
      <c r="C73" s="20" t="s">
        <v>317</v>
      </c>
      <c r="D73" s="4">
        <v>91</v>
      </c>
      <c r="E73" s="20" t="s">
        <v>318</v>
      </c>
      <c r="F73" s="20"/>
      <c r="G73" s="39">
        <v>57070</v>
      </c>
      <c r="H73" s="20" t="s">
        <v>319</v>
      </c>
      <c r="I73" s="40" t="s">
        <v>262</v>
      </c>
      <c r="J73" s="40" t="s">
        <v>262</v>
      </c>
      <c r="K73" s="48">
        <v>0</v>
      </c>
      <c r="L73" s="49">
        <v>0.82638888888888884</v>
      </c>
      <c r="M73" s="4">
        <v>30</v>
      </c>
      <c r="N73" s="20" t="s">
        <v>170</v>
      </c>
      <c r="O73" s="4">
        <v>24000</v>
      </c>
      <c r="P73" s="4">
        <v>13</v>
      </c>
      <c r="Q73" s="4">
        <v>13</v>
      </c>
      <c r="R73" s="20" t="s">
        <v>129</v>
      </c>
      <c r="S73" s="20" t="s">
        <v>129</v>
      </c>
      <c r="T73" s="20" t="s">
        <v>129</v>
      </c>
    </row>
    <row r="74" spans="1:20" ht="18.75" customHeight="1">
      <c r="A74" s="4">
        <v>36</v>
      </c>
      <c r="B74" s="20" t="s">
        <v>316</v>
      </c>
      <c r="C74" s="20" t="s">
        <v>317</v>
      </c>
      <c r="D74" s="4">
        <v>91</v>
      </c>
      <c r="E74" s="20" t="s">
        <v>318</v>
      </c>
      <c r="F74" s="20"/>
      <c r="G74" s="39">
        <v>57070</v>
      </c>
      <c r="H74" s="20" t="s">
        <v>319</v>
      </c>
      <c r="I74" s="40" t="s">
        <v>262</v>
      </c>
      <c r="J74" s="40" t="s">
        <v>262</v>
      </c>
      <c r="K74" s="48">
        <v>0</v>
      </c>
      <c r="L74" s="49">
        <v>0.91666666666666663</v>
      </c>
      <c r="M74" s="4">
        <v>30</v>
      </c>
      <c r="N74" s="20" t="s">
        <v>166</v>
      </c>
      <c r="O74" s="4">
        <v>24000</v>
      </c>
      <c r="P74" s="4">
        <v>13</v>
      </c>
      <c r="Q74" s="4">
        <v>13</v>
      </c>
      <c r="R74" s="20" t="s">
        <v>129</v>
      </c>
      <c r="S74" s="20" t="s">
        <v>129</v>
      </c>
      <c r="T74" s="20" t="s">
        <v>129</v>
      </c>
    </row>
    <row r="75" spans="1:20" ht="18.75" customHeight="1">
      <c r="A75" s="4">
        <v>36</v>
      </c>
      <c r="B75" s="20" t="s">
        <v>313</v>
      </c>
      <c r="C75" s="20" t="s">
        <v>320</v>
      </c>
      <c r="D75" s="4">
        <v>17</v>
      </c>
      <c r="E75" s="20" t="s">
        <v>321</v>
      </c>
      <c r="F75" s="20" t="s">
        <v>208</v>
      </c>
      <c r="G75" s="39">
        <v>10034</v>
      </c>
      <c r="H75" s="20" t="s">
        <v>163</v>
      </c>
      <c r="I75" s="40" t="s">
        <v>256</v>
      </c>
      <c r="J75" s="40" t="s">
        <v>256</v>
      </c>
      <c r="K75" s="48">
        <v>0</v>
      </c>
      <c r="L75" s="49">
        <v>0.45833333333333331</v>
      </c>
      <c r="M75" s="4">
        <v>30</v>
      </c>
      <c r="N75" s="20" t="s">
        <v>170</v>
      </c>
      <c r="O75" s="4">
        <v>24000</v>
      </c>
      <c r="P75" s="4">
        <v>13</v>
      </c>
      <c r="Q75" s="4">
        <v>13</v>
      </c>
      <c r="R75" s="20" t="s">
        <v>129</v>
      </c>
      <c r="S75" s="20" t="s">
        <v>129</v>
      </c>
      <c r="T75" s="20" t="s">
        <v>129</v>
      </c>
    </row>
    <row r="76" spans="1:20" ht="18.75" customHeight="1">
      <c r="A76" s="4">
        <v>37</v>
      </c>
      <c r="B76" s="20" t="s">
        <v>159</v>
      </c>
      <c r="C76" s="20" t="s">
        <v>160</v>
      </c>
      <c r="D76" s="4">
        <v>82</v>
      </c>
      <c r="E76" s="20" t="s">
        <v>161</v>
      </c>
      <c r="F76" s="20" t="s">
        <v>162</v>
      </c>
      <c r="G76" s="39">
        <v>14100</v>
      </c>
      <c r="H76" s="20" t="s">
        <v>163</v>
      </c>
      <c r="I76" s="40" t="s">
        <v>164</v>
      </c>
      <c r="J76" s="37" t="s">
        <v>165</v>
      </c>
      <c r="K76" s="48">
        <v>0</v>
      </c>
      <c r="L76" s="48">
        <v>0.99930555555555556</v>
      </c>
      <c r="M76" s="4">
        <v>30</v>
      </c>
      <c r="N76" s="20" t="s">
        <v>166</v>
      </c>
      <c r="O76" s="4">
        <v>52</v>
      </c>
      <c r="P76" s="17">
        <v>0.96</v>
      </c>
      <c r="Q76" s="4">
        <v>1</v>
      </c>
      <c r="R76" s="20" t="s">
        <v>129</v>
      </c>
      <c r="S76" s="20" t="s">
        <v>129</v>
      </c>
      <c r="T76" s="20" t="s">
        <v>129</v>
      </c>
    </row>
    <row r="77" spans="1:20" ht="18.75" customHeight="1">
      <c r="A77" s="4">
        <v>37</v>
      </c>
      <c r="B77" s="20" t="s">
        <v>322</v>
      </c>
      <c r="C77" s="20" t="s">
        <v>323</v>
      </c>
      <c r="D77" s="4">
        <v>84</v>
      </c>
      <c r="E77" s="20" t="s">
        <v>324</v>
      </c>
      <c r="F77" s="20" t="s">
        <v>204</v>
      </c>
      <c r="G77" s="39">
        <v>16014</v>
      </c>
      <c r="H77" s="20" t="s">
        <v>163</v>
      </c>
      <c r="I77" s="40" t="s">
        <v>164</v>
      </c>
      <c r="J77" s="40" t="s">
        <v>165</v>
      </c>
      <c r="K77" s="48">
        <v>0</v>
      </c>
      <c r="L77" s="48">
        <v>0.75</v>
      </c>
      <c r="M77" s="4">
        <v>30</v>
      </c>
      <c r="N77" s="20" t="s">
        <v>170</v>
      </c>
      <c r="O77" s="4">
        <v>52</v>
      </c>
      <c r="P77" s="17">
        <v>0.96</v>
      </c>
      <c r="Q77" s="4">
        <v>1</v>
      </c>
      <c r="R77" s="20" t="s">
        <v>129</v>
      </c>
      <c r="S77" s="20" t="s">
        <v>129</v>
      </c>
      <c r="T77" s="20" t="s">
        <v>129</v>
      </c>
    </row>
    <row r="78" spans="1:20" ht="18.75" customHeight="1">
      <c r="A78" s="4">
        <v>38</v>
      </c>
      <c r="B78" s="20" t="s">
        <v>325</v>
      </c>
      <c r="C78" s="20" t="s">
        <v>237</v>
      </c>
      <c r="D78" s="4">
        <v>1</v>
      </c>
      <c r="E78" s="20" t="s">
        <v>238</v>
      </c>
      <c r="F78" s="20" t="s">
        <v>228</v>
      </c>
      <c r="G78" s="39">
        <v>21010</v>
      </c>
      <c r="H78" s="20" t="s">
        <v>163</v>
      </c>
      <c r="I78" s="40" t="s">
        <v>164</v>
      </c>
      <c r="J78" s="40" t="s">
        <v>164</v>
      </c>
      <c r="K78" s="48">
        <v>0</v>
      </c>
      <c r="L78" s="48">
        <v>0.75</v>
      </c>
      <c r="M78" s="4">
        <v>30</v>
      </c>
      <c r="N78" s="20" t="s">
        <v>166</v>
      </c>
      <c r="O78" s="4">
        <v>357</v>
      </c>
      <c r="P78" s="4">
        <v>4</v>
      </c>
      <c r="Q78" s="4">
        <v>4</v>
      </c>
      <c r="R78" s="20" t="s">
        <v>129</v>
      </c>
      <c r="S78" s="20" t="s">
        <v>129</v>
      </c>
      <c r="T78" s="20" t="s">
        <v>129</v>
      </c>
    </row>
    <row r="79" spans="1:20" ht="18.75" customHeight="1">
      <c r="A79" s="4">
        <v>38</v>
      </c>
      <c r="B79" s="20" t="s">
        <v>326</v>
      </c>
      <c r="C79" s="20" t="s">
        <v>327</v>
      </c>
      <c r="D79" s="4">
        <v>29</v>
      </c>
      <c r="E79" s="20" t="s">
        <v>328</v>
      </c>
      <c r="F79" s="20" t="s">
        <v>204</v>
      </c>
      <c r="G79" s="39">
        <v>16040</v>
      </c>
      <c r="H79" s="20" t="s">
        <v>163</v>
      </c>
      <c r="I79" s="40" t="s">
        <v>164</v>
      </c>
      <c r="J79" s="40" t="s">
        <v>165</v>
      </c>
      <c r="K79" s="48">
        <v>0</v>
      </c>
      <c r="L79" s="48">
        <v>0.75</v>
      </c>
      <c r="M79" s="4">
        <v>30</v>
      </c>
      <c r="N79" s="20" t="s">
        <v>170</v>
      </c>
      <c r="O79" s="4">
        <v>357</v>
      </c>
      <c r="P79" s="4">
        <v>4</v>
      </c>
      <c r="Q79" s="4">
        <v>4</v>
      </c>
      <c r="R79" s="20" t="s">
        <v>129</v>
      </c>
      <c r="S79" s="20" t="s">
        <v>129</v>
      </c>
      <c r="T79" s="20" t="s">
        <v>129</v>
      </c>
    </row>
    <row r="80" spans="1:20" ht="18.75" customHeight="1">
      <c r="A80" s="10">
        <v>39</v>
      </c>
      <c r="B80" s="20" t="s">
        <v>329</v>
      </c>
      <c r="C80" s="20" t="s">
        <v>160</v>
      </c>
      <c r="D80" s="4">
        <v>82</v>
      </c>
      <c r="E80" s="20" t="s">
        <v>161</v>
      </c>
      <c r="F80" s="20" t="s">
        <v>162</v>
      </c>
      <c r="G80" s="39">
        <v>14100</v>
      </c>
      <c r="H80" s="20" t="s">
        <v>163</v>
      </c>
      <c r="I80" s="40">
        <v>45892</v>
      </c>
      <c r="J80" s="40">
        <v>45894</v>
      </c>
      <c r="K80" s="49">
        <v>0</v>
      </c>
      <c r="L80" s="49">
        <v>0.99930555555555556</v>
      </c>
      <c r="M80" s="4">
        <v>30</v>
      </c>
      <c r="N80" s="20" t="s">
        <v>166</v>
      </c>
      <c r="O80" s="10">
        <v>4760</v>
      </c>
      <c r="P80" s="4">
        <v>11</v>
      </c>
      <c r="Q80" s="4">
        <v>15</v>
      </c>
      <c r="R80" s="20" t="s">
        <v>129</v>
      </c>
      <c r="S80" s="20" t="s">
        <v>129</v>
      </c>
      <c r="T80" s="20" t="s">
        <v>129</v>
      </c>
    </row>
    <row r="81" spans="1:20" ht="18.75" customHeight="1">
      <c r="A81" s="10">
        <v>39</v>
      </c>
      <c r="B81" s="20" t="s">
        <v>330</v>
      </c>
      <c r="C81" s="20" t="s">
        <v>331</v>
      </c>
      <c r="D81" s="4">
        <v>18</v>
      </c>
      <c r="E81" s="20" t="s">
        <v>332</v>
      </c>
      <c r="F81" s="20" t="s">
        <v>208</v>
      </c>
      <c r="G81" s="39">
        <v>10080</v>
      </c>
      <c r="H81" s="20" t="s">
        <v>163</v>
      </c>
      <c r="I81" s="40">
        <v>45892</v>
      </c>
      <c r="J81" s="40">
        <v>45894</v>
      </c>
      <c r="K81" s="49">
        <v>0</v>
      </c>
      <c r="L81" s="49">
        <v>0.99930555555555556</v>
      </c>
      <c r="M81" s="4">
        <v>30</v>
      </c>
      <c r="N81" s="20" t="s">
        <v>170</v>
      </c>
      <c r="O81" s="10">
        <v>4760</v>
      </c>
      <c r="P81" s="10">
        <v>11</v>
      </c>
      <c r="Q81" s="4">
        <v>15</v>
      </c>
      <c r="R81" s="20" t="s">
        <v>129</v>
      </c>
      <c r="S81" s="20" t="s">
        <v>129</v>
      </c>
      <c r="T81" s="20" t="s">
        <v>129</v>
      </c>
    </row>
    <row r="82" spans="1:20" ht="18.75" customHeight="1">
      <c r="A82" s="10">
        <v>40</v>
      </c>
      <c r="B82" s="20" t="s">
        <v>192</v>
      </c>
      <c r="C82" s="20" t="s">
        <v>160</v>
      </c>
      <c r="D82" s="4">
        <v>82</v>
      </c>
      <c r="E82" s="20" t="s">
        <v>161</v>
      </c>
      <c r="F82" s="20" t="s">
        <v>162</v>
      </c>
      <c r="G82" s="39">
        <v>14100</v>
      </c>
      <c r="H82" s="20" t="s">
        <v>163</v>
      </c>
      <c r="I82" s="40">
        <v>45892</v>
      </c>
      <c r="J82" s="40">
        <v>45894</v>
      </c>
      <c r="K82" s="49">
        <v>0</v>
      </c>
      <c r="L82" s="49">
        <v>0.99930555555555556</v>
      </c>
      <c r="M82" s="4">
        <v>30</v>
      </c>
      <c r="N82" s="20" t="s">
        <v>166</v>
      </c>
      <c r="O82" s="10">
        <v>5317</v>
      </c>
      <c r="P82" s="4">
        <v>4</v>
      </c>
      <c r="Q82" s="4">
        <v>5</v>
      </c>
      <c r="R82" s="20" t="s">
        <v>129</v>
      </c>
      <c r="S82" s="20" t="s">
        <v>129</v>
      </c>
      <c r="T82" s="20" t="s">
        <v>129</v>
      </c>
    </row>
    <row r="83" spans="1:20" ht="18.75" customHeight="1">
      <c r="A83" s="10">
        <v>40</v>
      </c>
      <c r="B83" s="20" t="s">
        <v>333</v>
      </c>
      <c r="C83" s="20" t="s">
        <v>334</v>
      </c>
      <c r="D83" s="4">
        <v>10</v>
      </c>
      <c r="E83" s="20" t="s">
        <v>207</v>
      </c>
      <c r="F83" s="20" t="s">
        <v>208</v>
      </c>
      <c r="G83" s="39">
        <v>10051</v>
      </c>
      <c r="H83" s="20" t="s">
        <v>163</v>
      </c>
      <c r="I83" s="40">
        <v>45892</v>
      </c>
      <c r="J83" s="40">
        <v>45894</v>
      </c>
      <c r="K83" s="49">
        <v>0</v>
      </c>
      <c r="L83" s="49">
        <v>0.70833333333333337</v>
      </c>
      <c r="M83" s="4">
        <v>30</v>
      </c>
      <c r="N83" s="20" t="s">
        <v>170</v>
      </c>
      <c r="O83" s="10">
        <v>5317</v>
      </c>
      <c r="P83" s="10">
        <v>4</v>
      </c>
      <c r="Q83" s="4">
        <v>5</v>
      </c>
      <c r="R83" s="20" t="s">
        <v>129</v>
      </c>
      <c r="S83" s="20" t="s">
        <v>129</v>
      </c>
      <c r="T83" s="20" t="s">
        <v>129</v>
      </c>
    </row>
    <row r="84" spans="1:20" ht="18.75" customHeight="1">
      <c r="A84" s="10">
        <v>41</v>
      </c>
      <c r="B84" s="20" t="s">
        <v>335</v>
      </c>
      <c r="C84" s="20" t="s">
        <v>336</v>
      </c>
      <c r="D84" s="4">
        <v>8</v>
      </c>
      <c r="E84" s="20" t="s">
        <v>337</v>
      </c>
      <c r="F84" s="20" t="s">
        <v>208</v>
      </c>
      <c r="G84" s="39">
        <v>10148</v>
      </c>
      <c r="H84" s="20" t="s">
        <v>163</v>
      </c>
      <c r="I84" s="40">
        <v>45892</v>
      </c>
      <c r="J84" s="40">
        <v>45895</v>
      </c>
      <c r="K84" s="49">
        <v>0</v>
      </c>
      <c r="L84" s="49">
        <v>0.75</v>
      </c>
      <c r="M84" s="4">
        <v>30</v>
      </c>
      <c r="N84" s="20" t="s">
        <v>166</v>
      </c>
      <c r="O84" s="10">
        <v>950</v>
      </c>
      <c r="P84" s="4">
        <v>13</v>
      </c>
      <c r="Q84" s="4">
        <v>14</v>
      </c>
      <c r="R84" s="20" t="s">
        <v>129</v>
      </c>
      <c r="S84" s="20" t="s">
        <v>129</v>
      </c>
      <c r="T84" s="20" t="s">
        <v>129</v>
      </c>
    </row>
    <row r="85" spans="1:20" ht="18.75" customHeight="1">
      <c r="A85" s="10">
        <v>41</v>
      </c>
      <c r="B85" s="20" t="s">
        <v>338</v>
      </c>
      <c r="C85" s="20" t="s">
        <v>340</v>
      </c>
      <c r="D85" s="4">
        <v>13</v>
      </c>
      <c r="E85" s="20" t="s">
        <v>339</v>
      </c>
      <c r="F85" s="20" t="s">
        <v>341</v>
      </c>
      <c r="G85" s="39">
        <v>37060</v>
      </c>
      <c r="H85" s="20" t="s">
        <v>163</v>
      </c>
      <c r="I85" s="40">
        <v>45892</v>
      </c>
      <c r="J85" s="40">
        <v>45895</v>
      </c>
      <c r="K85" s="49">
        <v>0</v>
      </c>
      <c r="L85" s="49">
        <v>0.35416666666666669</v>
      </c>
      <c r="M85" s="4">
        <v>30</v>
      </c>
      <c r="N85" s="20" t="s">
        <v>170</v>
      </c>
      <c r="O85" s="10">
        <v>950</v>
      </c>
      <c r="P85" s="10">
        <v>13</v>
      </c>
      <c r="Q85" s="4">
        <v>14</v>
      </c>
      <c r="R85" s="20" t="s">
        <v>129</v>
      </c>
      <c r="S85" s="20" t="s">
        <v>129</v>
      </c>
      <c r="T85" s="20" t="s">
        <v>129</v>
      </c>
    </row>
    <row r="86" spans="1:20" ht="18.75" customHeight="1">
      <c r="A86" s="10">
        <v>42</v>
      </c>
      <c r="B86" s="20" t="s">
        <v>342</v>
      </c>
      <c r="C86" s="20" t="s">
        <v>343</v>
      </c>
      <c r="D86" s="4">
        <v>240</v>
      </c>
      <c r="E86" s="20" t="s">
        <v>344</v>
      </c>
      <c r="F86" s="20" t="s">
        <v>345</v>
      </c>
      <c r="G86" s="39">
        <v>54</v>
      </c>
      <c r="H86" s="20" t="s">
        <v>163</v>
      </c>
      <c r="I86" s="40">
        <v>45886</v>
      </c>
      <c r="J86" s="40">
        <v>45887</v>
      </c>
      <c r="K86" s="49">
        <v>0</v>
      </c>
      <c r="L86" s="49">
        <v>0.99930555555555556</v>
      </c>
      <c r="M86" s="4">
        <v>30</v>
      </c>
      <c r="N86" s="20" t="s">
        <v>166</v>
      </c>
      <c r="O86" s="10">
        <v>1000</v>
      </c>
      <c r="P86" s="4">
        <v>20</v>
      </c>
      <c r="Q86" s="4">
        <v>12</v>
      </c>
      <c r="R86" s="20" t="s">
        <v>129</v>
      </c>
      <c r="S86" s="20" t="s">
        <v>129</v>
      </c>
      <c r="T86" s="20" t="s">
        <v>129</v>
      </c>
    </row>
    <row r="87" spans="1:20" ht="18.75" customHeight="1">
      <c r="A87" s="10">
        <v>42</v>
      </c>
      <c r="B87" s="20" t="s">
        <v>346</v>
      </c>
      <c r="C87" s="20" t="s">
        <v>347</v>
      </c>
      <c r="D87" s="4">
        <v>4</v>
      </c>
      <c r="E87" s="20" t="s">
        <v>348</v>
      </c>
      <c r="F87" s="20"/>
      <c r="G87" s="39">
        <v>7111</v>
      </c>
      <c r="H87" s="20" t="s">
        <v>346</v>
      </c>
      <c r="I87" s="40">
        <v>45894</v>
      </c>
      <c r="J87" s="40">
        <v>45904</v>
      </c>
      <c r="K87" s="49">
        <v>0.35416666666666669</v>
      </c>
      <c r="L87" s="49">
        <v>0.5625</v>
      </c>
      <c r="M87" s="4">
        <v>30</v>
      </c>
      <c r="N87" s="20" t="s">
        <v>170</v>
      </c>
      <c r="O87" s="10">
        <v>1000</v>
      </c>
      <c r="P87" s="10">
        <v>20</v>
      </c>
      <c r="Q87" s="4">
        <v>12</v>
      </c>
      <c r="R87" s="20" t="s">
        <v>129</v>
      </c>
      <c r="S87" s="20" t="s">
        <v>129</v>
      </c>
      <c r="T87" s="20" t="s">
        <v>129</v>
      </c>
    </row>
    <row r="88" spans="1:20" ht="18.75" customHeight="1">
      <c r="A88" s="10">
        <v>43</v>
      </c>
      <c r="B88" s="20" t="s">
        <v>349</v>
      </c>
      <c r="C88" s="20" t="s">
        <v>350</v>
      </c>
      <c r="D88" s="4">
        <v>44</v>
      </c>
      <c r="E88" s="20" t="s">
        <v>351</v>
      </c>
      <c r="F88" s="20"/>
      <c r="G88" s="39">
        <v>91100</v>
      </c>
      <c r="H88" s="20" t="s">
        <v>319</v>
      </c>
      <c r="I88" s="40">
        <v>45892</v>
      </c>
      <c r="J88" s="40">
        <v>45895</v>
      </c>
      <c r="K88" s="49">
        <v>0.5</v>
      </c>
      <c r="L88" s="49">
        <v>0.58333333333333337</v>
      </c>
      <c r="M88" s="4">
        <v>30</v>
      </c>
      <c r="N88" s="20" t="s">
        <v>166</v>
      </c>
      <c r="O88" s="10">
        <v>3359</v>
      </c>
      <c r="P88" s="4">
        <v>5</v>
      </c>
      <c r="Q88" s="4">
        <v>6</v>
      </c>
      <c r="R88" s="20" t="s">
        <v>129</v>
      </c>
      <c r="S88" s="20" t="s">
        <v>129</v>
      </c>
      <c r="T88" s="20" t="s">
        <v>129</v>
      </c>
    </row>
    <row r="89" spans="1:20" ht="18.75" customHeight="1">
      <c r="A89" s="10">
        <v>43</v>
      </c>
      <c r="B89" s="20" t="s">
        <v>354</v>
      </c>
      <c r="C89" s="20" t="s">
        <v>353</v>
      </c>
      <c r="D89" s="4">
        <v>18</v>
      </c>
      <c r="E89" s="20" t="s">
        <v>352</v>
      </c>
      <c r="F89" s="20" t="s">
        <v>186</v>
      </c>
      <c r="G89" s="39">
        <v>20092</v>
      </c>
      <c r="H89" s="20" t="s">
        <v>319</v>
      </c>
      <c r="I89" s="40">
        <v>45892</v>
      </c>
      <c r="J89" s="40">
        <v>45896</v>
      </c>
      <c r="K89" s="49">
        <v>0</v>
      </c>
      <c r="L89" s="49">
        <v>0.58333333333333337</v>
      </c>
      <c r="M89" s="4">
        <v>30</v>
      </c>
      <c r="N89" s="20" t="s">
        <v>170</v>
      </c>
      <c r="O89" s="10">
        <v>3359</v>
      </c>
      <c r="P89" s="10">
        <v>5</v>
      </c>
      <c r="Q89" s="4">
        <v>6</v>
      </c>
      <c r="R89" s="20" t="s">
        <v>129</v>
      </c>
      <c r="S89" s="20" t="s">
        <v>129</v>
      </c>
      <c r="T89" s="20" t="s">
        <v>129</v>
      </c>
    </row>
    <row r="90" spans="1:20" ht="18.75" customHeight="1">
      <c r="A90" s="10">
        <v>44</v>
      </c>
      <c r="B90" s="20" t="s">
        <v>175</v>
      </c>
      <c r="C90" s="20" t="s">
        <v>160</v>
      </c>
      <c r="D90" s="4">
        <v>82</v>
      </c>
      <c r="E90" s="20" t="s">
        <v>161</v>
      </c>
      <c r="F90" s="20" t="s">
        <v>162</v>
      </c>
      <c r="G90" s="39">
        <v>14100</v>
      </c>
      <c r="H90" s="20" t="s">
        <v>163</v>
      </c>
      <c r="I90" s="40">
        <v>45892</v>
      </c>
      <c r="J90" s="40">
        <v>45894</v>
      </c>
      <c r="K90" s="49">
        <v>0</v>
      </c>
      <c r="L90" s="49">
        <v>0.99930555555555556</v>
      </c>
      <c r="M90" s="4">
        <v>30</v>
      </c>
      <c r="N90" s="20" t="s">
        <v>166</v>
      </c>
      <c r="O90" s="10">
        <v>1365</v>
      </c>
      <c r="P90" s="4">
        <v>2</v>
      </c>
      <c r="Q90" s="4">
        <v>3</v>
      </c>
      <c r="R90" s="20" t="s">
        <v>129</v>
      </c>
      <c r="S90" s="20" t="s">
        <v>129</v>
      </c>
      <c r="T90" s="20" t="s">
        <v>129</v>
      </c>
    </row>
    <row r="91" spans="1:20" ht="18.75" customHeight="1">
      <c r="A91" s="10">
        <v>44</v>
      </c>
      <c r="B91" s="20" t="s">
        <v>175</v>
      </c>
      <c r="C91" s="20" t="s">
        <v>176</v>
      </c>
      <c r="D91" s="4">
        <v>83</v>
      </c>
      <c r="E91" s="20" t="s">
        <v>177</v>
      </c>
      <c r="F91" s="20" t="s">
        <v>178</v>
      </c>
      <c r="G91" s="39">
        <v>22066</v>
      </c>
      <c r="H91" s="20" t="s">
        <v>163</v>
      </c>
      <c r="I91" s="40">
        <v>45892</v>
      </c>
      <c r="J91" s="40">
        <v>45894</v>
      </c>
      <c r="K91" s="49">
        <v>0</v>
      </c>
      <c r="L91" s="49">
        <v>0.75</v>
      </c>
      <c r="M91" s="4">
        <v>30</v>
      </c>
      <c r="N91" s="20" t="s">
        <v>170</v>
      </c>
      <c r="O91" s="10">
        <v>1365</v>
      </c>
      <c r="P91" s="10">
        <v>2</v>
      </c>
      <c r="Q91" s="4">
        <v>3</v>
      </c>
      <c r="R91" s="20" t="s">
        <v>129</v>
      </c>
      <c r="S91" s="20" t="s">
        <v>129</v>
      </c>
      <c r="T91" s="20" t="s">
        <v>129</v>
      </c>
    </row>
    <row r="92" spans="1:20" ht="18.75" customHeight="1">
      <c r="A92" s="10">
        <v>45</v>
      </c>
      <c r="B92" s="20" t="s">
        <v>355</v>
      </c>
      <c r="C92" s="20" t="s">
        <v>184</v>
      </c>
      <c r="D92" s="4">
        <v>13</v>
      </c>
      <c r="E92" s="20" t="s">
        <v>356</v>
      </c>
      <c r="F92" s="20" t="s">
        <v>178</v>
      </c>
      <c r="G92" s="39">
        <v>22078</v>
      </c>
      <c r="H92" s="20" t="s">
        <v>163</v>
      </c>
      <c r="I92" s="40">
        <v>45892</v>
      </c>
      <c r="J92" s="40">
        <v>45895</v>
      </c>
      <c r="K92" s="49">
        <v>0</v>
      </c>
      <c r="L92" s="49">
        <v>0.99930555555555556</v>
      </c>
      <c r="M92" s="4">
        <v>30</v>
      </c>
      <c r="N92" s="20" t="s">
        <v>166</v>
      </c>
      <c r="O92" s="10">
        <v>1226</v>
      </c>
      <c r="P92" s="4">
        <v>5</v>
      </c>
      <c r="Q92" s="4">
        <v>6</v>
      </c>
      <c r="R92" s="20" t="s">
        <v>129</v>
      </c>
      <c r="S92" s="20" t="s">
        <v>129</v>
      </c>
      <c r="T92" s="20" t="s">
        <v>129</v>
      </c>
    </row>
    <row r="93" spans="1:20" ht="18.75" customHeight="1">
      <c r="A93" s="10">
        <v>45</v>
      </c>
      <c r="B93" s="20" t="s">
        <v>357</v>
      </c>
      <c r="C93" s="20" t="s">
        <v>358</v>
      </c>
      <c r="D93" s="4">
        <v>588</v>
      </c>
      <c r="E93" s="20" t="s">
        <v>359</v>
      </c>
      <c r="F93" s="20" t="s">
        <v>169</v>
      </c>
      <c r="G93" s="39">
        <v>18033</v>
      </c>
      <c r="H93" s="20" t="s">
        <v>163</v>
      </c>
      <c r="I93" s="40">
        <v>45895</v>
      </c>
      <c r="J93" s="40">
        <v>45895</v>
      </c>
      <c r="K93" s="49">
        <v>0</v>
      </c>
      <c r="L93" s="49">
        <v>0.75</v>
      </c>
      <c r="M93" s="4">
        <v>30</v>
      </c>
      <c r="N93" s="20" t="s">
        <v>170</v>
      </c>
      <c r="O93" s="10">
        <v>1226</v>
      </c>
      <c r="P93" s="10">
        <v>5</v>
      </c>
      <c r="Q93" s="4">
        <v>6</v>
      </c>
      <c r="R93" s="20" t="s">
        <v>129</v>
      </c>
      <c r="S93" s="20" t="s">
        <v>129</v>
      </c>
      <c r="T93" s="20" t="s">
        <v>129</v>
      </c>
    </row>
    <row r="94" spans="1:20" ht="18.75" customHeight="1">
      <c r="A94" s="10">
        <v>46</v>
      </c>
      <c r="B94" s="20" t="s">
        <v>229</v>
      </c>
      <c r="C94" s="20" t="s">
        <v>160</v>
      </c>
      <c r="D94" s="4">
        <v>82</v>
      </c>
      <c r="E94" s="20" t="s">
        <v>161</v>
      </c>
      <c r="F94" s="20" t="s">
        <v>162</v>
      </c>
      <c r="G94" s="39">
        <v>14100</v>
      </c>
      <c r="H94" s="20" t="s">
        <v>163</v>
      </c>
      <c r="I94" s="40">
        <v>45892</v>
      </c>
      <c r="J94" s="40">
        <v>45894</v>
      </c>
      <c r="K94" s="49">
        <v>0</v>
      </c>
      <c r="L94" s="49">
        <v>0.99930555555555556</v>
      </c>
      <c r="M94" s="4">
        <v>30</v>
      </c>
      <c r="N94" s="20" t="s">
        <v>166</v>
      </c>
      <c r="O94" s="10">
        <v>1291</v>
      </c>
      <c r="P94" s="4">
        <v>19</v>
      </c>
      <c r="Q94" s="4">
        <v>18</v>
      </c>
      <c r="R94" s="20" t="s">
        <v>129</v>
      </c>
      <c r="S94" s="20" t="s">
        <v>129</v>
      </c>
      <c r="T94" s="20" t="s">
        <v>129</v>
      </c>
    </row>
    <row r="95" spans="1:20" ht="18.75" customHeight="1">
      <c r="A95" s="10">
        <v>46</v>
      </c>
      <c r="B95" s="20" t="s">
        <v>360</v>
      </c>
      <c r="C95" s="20" t="s">
        <v>361</v>
      </c>
      <c r="D95" s="4">
        <v>1</v>
      </c>
      <c r="E95" s="20" t="s">
        <v>362</v>
      </c>
      <c r="F95" s="20" t="s">
        <v>208</v>
      </c>
      <c r="G95" s="39">
        <v>10042</v>
      </c>
      <c r="H95" s="20" t="s">
        <v>163</v>
      </c>
      <c r="I95" s="40">
        <v>45892</v>
      </c>
      <c r="J95" s="40">
        <v>45894</v>
      </c>
      <c r="K95" s="49">
        <v>0</v>
      </c>
      <c r="L95" s="49">
        <v>0.75</v>
      </c>
      <c r="M95" s="4">
        <v>30</v>
      </c>
      <c r="N95" s="20" t="s">
        <v>170</v>
      </c>
      <c r="O95" s="10">
        <v>1291</v>
      </c>
      <c r="P95" s="10">
        <v>19</v>
      </c>
      <c r="Q95" s="4">
        <v>18</v>
      </c>
      <c r="R95" s="20" t="s">
        <v>129</v>
      </c>
      <c r="S95" s="20" t="s">
        <v>129</v>
      </c>
      <c r="T95" s="20" t="s">
        <v>129</v>
      </c>
    </row>
    <row r="96" spans="1:20" ht="18.75" customHeight="1">
      <c r="A96" s="10">
        <v>47</v>
      </c>
      <c r="B96" s="20" t="s">
        <v>363</v>
      </c>
      <c r="C96" s="20" t="s">
        <v>364</v>
      </c>
      <c r="D96" s="4">
        <v>25</v>
      </c>
      <c r="E96" s="20" t="s">
        <v>365</v>
      </c>
      <c r="F96" s="20" t="s">
        <v>208</v>
      </c>
      <c r="G96" s="39">
        <v>10060</v>
      </c>
      <c r="H96" s="20" t="s">
        <v>163</v>
      </c>
      <c r="I96" s="40">
        <v>45892</v>
      </c>
      <c r="J96" s="40">
        <v>45895</v>
      </c>
      <c r="K96" s="49">
        <v>0</v>
      </c>
      <c r="L96" s="49">
        <v>0.99930555555555556</v>
      </c>
      <c r="M96" s="4">
        <v>30</v>
      </c>
      <c r="N96" s="20" t="s">
        <v>166</v>
      </c>
      <c r="O96" s="10">
        <v>4200</v>
      </c>
      <c r="P96" s="4">
        <v>15</v>
      </c>
      <c r="Q96" s="4">
        <v>16</v>
      </c>
      <c r="R96" s="20" t="s">
        <v>129</v>
      </c>
      <c r="S96" s="20" t="s">
        <v>129</v>
      </c>
      <c r="T96" s="20" t="s">
        <v>129</v>
      </c>
    </row>
    <row r="97" spans="1:20" ht="18.75" customHeight="1">
      <c r="A97" s="10">
        <v>47</v>
      </c>
      <c r="B97" s="20" t="s">
        <v>366</v>
      </c>
      <c r="C97" s="20" t="s">
        <v>367</v>
      </c>
      <c r="D97" s="4">
        <v>31</v>
      </c>
      <c r="E97" s="20" t="s">
        <v>368</v>
      </c>
      <c r="F97" s="20" t="s">
        <v>341</v>
      </c>
      <c r="G97" s="39">
        <v>37060</v>
      </c>
      <c r="H97" s="20" t="s">
        <v>163</v>
      </c>
      <c r="I97" s="40">
        <v>45896</v>
      </c>
      <c r="J97" s="40">
        <v>45896</v>
      </c>
      <c r="K97" s="49">
        <v>0</v>
      </c>
      <c r="L97" s="49">
        <v>0.99930555555555556</v>
      </c>
      <c r="M97" s="4">
        <v>30</v>
      </c>
      <c r="N97" s="20" t="s">
        <v>170</v>
      </c>
      <c r="O97" s="10">
        <v>4200</v>
      </c>
      <c r="P97" s="10">
        <v>15</v>
      </c>
      <c r="Q97" s="4">
        <v>16</v>
      </c>
      <c r="R97" s="20" t="s">
        <v>129</v>
      </c>
      <c r="S97" s="20" t="s">
        <v>129</v>
      </c>
      <c r="T97" s="20" t="s">
        <v>129</v>
      </c>
    </row>
    <row r="98" spans="1:20" ht="18.75" customHeight="1">
      <c r="A98" s="10">
        <v>48</v>
      </c>
      <c r="B98" s="20" t="s">
        <v>369</v>
      </c>
      <c r="C98" s="20" t="s">
        <v>370</v>
      </c>
      <c r="D98" s="4">
        <v>1</v>
      </c>
      <c r="E98" s="20" t="s">
        <v>371</v>
      </c>
      <c r="F98" s="20" t="s">
        <v>372</v>
      </c>
      <c r="G98" s="39">
        <v>15028</v>
      </c>
      <c r="H98" s="20" t="s">
        <v>163</v>
      </c>
      <c r="I98" s="40">
        <v>45892</v>
      </c>
      <c r="J98" s="40">
        <v>45894</v>
      </c>
      <c r="K98" s="49">
        <v>0</v>
      </c>
      <c r="L98" s="49">
        <v>0.25</v>
      </c>
      <c r="M98" s="4">
        <v>30</v>
      </c>
      <c r="N98" s="20" t="s">
        <v>166</v>
      </c>
      <c r="O98" s="10">
        <v>1560</v>
      </c>
      <c r="P98" s="4">
        <v>6</v>
      </c>
      <c r="Q98" s="4">
        <v>7</v>
      </c>
      <c r="R98" s="20" t="s">
        <v>130</v>
      </c>
      <c r="S98" s="20" t="s">
        <v>129</v>
      </c>
      <c r="T98" s="20" t="s">
        <v>129</v>
      </c>
    </row>
    <row r="99" spans="1:20" ht="18.75" customHeight="1">
      <c r="A99" s="10">
        <v>48</v>
      </c>
      <c r="B99" s="20" t="s">
        <v>373</v>
      </c>
      <c r="C99" s="20" t="s">
        <v>374</v>
      </c>
      <c r="D99" s="4">
        <v>18</v>
      </c>
      <c r="E99" s="20" t="s">
        <v>375</v>
      </c>
      <c r="F99" s="20" t="s">
        <v>376</v>
      </c>
      <c r="G99" s="39">
        <v>61122</v>
      </c>
      <c r="H99" s="20" t="s">
        <v>163</v>
      </c>
      <c r="I99" s="40">
        <v>45892</v>
      </c>
      <c r="J99" s="40">
        <v>45894</v>
      </c>
      <c r="K99" s="49">
        <v>0</v>
      </c>
      <c r="L99" s="49">
        <v>0.99930555555555556</v>
      </c>
      <c r="M99" s="4">
        <v>30</v>
      </c>
      <c r="N99" s="20" t="s">
        <v>170</v>
      </c>
      <c r="O99" s="10">
        <v>1560</v>
      </c>
      <c r="P99" s="10">
        <v>6</v>
      </c>
      <c r="Q99" s="4">
        <v>7</v>
      </c>
      <c r="R99" s="20" t="s">
        <v>130</v>
      </c>
      <c r="S99" s="20" t="s">
        <v>129</v>
      </c>
      <c r="T99" s="20" t="s">
        <v>129</v>
      </c>
    </row>
    <row r="100" spans="1:20" ht="18.75" customHeight="1">
      <c r="A100" s="10">
        <v>49</v>
      </c>
      <c r="B100" s="20" t="s">
        <v>377</v>
      </c>
      <c r="C100" s="20" t="s">
        <v>378</v>
      </c>
      <c r="D100" s="4">
        <v>6</v>
      </c>
      <c r="E100" s="20" t="s">
        <v>371</v>
      </c>
      <c r="F100" s="20" t="s">
        <v>372</v>
      </c>
      <c r="G100" s="39">
        <v>15028</v>
      </c>
      <c r="H100" s="20" t="s">
        <v>163</v>
      </c>
      <c r="I100" s="40">
        <v>45892</v>
      </c>
      <c r="J100" s="40">
        <v>45894</v>
      </c>
      <c r="K100" s="49">
        <v>0</v>
      </c>
      <c r="L100" s="49">
        <v>0.33333333333333331</v>
      </c>
      <c r="M100" s="4">
        <v>30</v>
      </c>
      <c r="N100" s="20" t="s">
        <v>166</v>
      </c>
      <c r="O100" s="10">
        <v>1065</v>
      </c>
      <c r="P100" s="4">
        <v>2</v>
      </c>
      <c r="Q100" s="4">
        <v>2</v>
      </c>
      <c r="R100" s="20" t="s">
        <v>130</v>
      </c>
      <c r="S100" s="20" t="s">
        <v>129</v>
      </c>
      <c r="T100" s="20" t="s">
        <v>129</v>
      </c>
    </row>
    <row r="101" spans="1:20" ht="18.75" customHeight="1">
      <c r="A101" s="10">
        <v>49</v>
      </c>
      <c r="B101" s="20" t="s">
        <v>379</v>
      </c>
      <c r="C101" s="20" t="s">
        <v>380</v>
      </c>
      <c r="D101" s="4">
        <v>1</v>
      </c>
      <c r="E101" s="20" t="s">
        <v>381</v>
      </c>
      <c r="F101" s="20"/>
      <c r="G101" s="39">
        <v>16000</v>
      </c>
      <c r="H101" s="20" t="s">
        <v>163</v>
      </c>
      <c r="I101" s="40">
        <v>45895</v>
      </c>
      <c r="J101" s="40">
        <v>45895</v>
      </c>
      <c r="K101" s="49">
        <v>0</v>
      </c>
      <c r="L101" s="49">
        <v>0.5</v>
      </c>
      <c r="M101" s="4">
        <v>30</v>
      </c>
      <c r="N101" s="20" t="s">
        <v>170</v>
      </c>
      <c r="O101" s="10">
        <v>1065</v>
      </c>
      <c r="P101" s="10">
        <v>2</v>
      </c>
      <c r="Q101" s="4">
        <v>2</v>
      </c>
      <c r="R101" s="20" t="s">
        <v>130</v>
      </c>
      <c r="S101" s="20" t="s">
        <v>129</v>
      </c>
      <c r="T101" s="20" t="s">
        <v>129</v>
      </c>
    </row>
    <row r="102" spans="1:20" ht="18.75" customHeight="1">
      <c r="A102" s="10">
        <v>50</v>
      </c>
      <c r="B102" s="20" t="s">
        <v>382</v>
      </c>
      <c r="C102" s="20" t="s">
        <v>160</v>
      </c>
      <c r="D102" s="4">
        <v>82</v>
      </c>
      <c r="E102" s="20" t="s">
        <v>161</v>
      </c>
      <c r="F102" s="20" t="s">
        <v>162</v>
      </c>
      <c r="G102" s="39">
        <v>14100</v>
      </c>
      <c r="H102" s="20" t="s">
        <v>163</v>
      </c>
      <c r="I102" s="40">
        <v>45892</v>
      </c>
      <c r="J102" s="40">
        <v>45894</v>
      </c>
      <c r="K102" s="49">
        <v>0</v>
      </c>
      <c r="L102" s="49">
        <v>0.99930555555555556</v>
      </c>
      <c r="M102" s="4">
        <v>30</v>
      </c>
      <c r="N102" s="20" t="s">
        <v>166</v>
      </c>
      <c r="O102" s="10">
        <v>5317</v>
      </c>
      <c r="P102" s="4">
        <v>17</v>
      </c>
      <c r="Q102" s="4">
        <v>17</v>
      </c>
      <c r="R102" s="20" t="s">
        <v>129</v>
      </c>
      <c r="S102" s="20" t="s">
        <v>129</v>
      </c>
      <c r="T102" s="20" t="s">
        <v>129</v>
      </c>
    </row>
    <row r="103" spans="1:20" ht="18.75" customHeight="1">
      <c r="A103" s="10">
        <v>50</v>
      </c>
      <c r="B103" s="20" t="s">
        <v>383</v>
      </c>
      <c r="C103" s="20" t="s">
        <v>385</v>
      </c>
      <c r="D103" s="4">
        <v>4</v>
      </c>
      <c r="E103" s="20" t="s">
        <v>384</v>
      </c>
      <c r="F103" s="20" t="s">
        <v>208</v>
      </c>
      <c r="G103" s="39">
        <v>59100</v>
      </c>
      <c r="H103" s="20" t="s">
        <v>163</v>
      </c>
      <c r="I103" s="40">
        <v>45892</v>
      </c>
      <c r="J103" s="40">
        <v>45894</v>
      </c>
      <c r="K103" s="49">
        <v>0</v>
      </c>
      <c r="L103" s="49">
        <v>0.75</v>
      </c>
      <c r="M103" s="4">
        <v>30</v>
      </c>
      <c r="N103" s="20" t="s">
        <v>170</v>
      </c>
      <c r="O103" s="10">
        <v>5317</v>
      </c>
      <c r="P103" s="10">
        <v>17</v>
      </c>
      <c r="Q103" s="4">
        <v>17</v>
      </c>
      <c r="R103" s="20" t="s">
        <v>129</v>
      </c>
      <c r="S103" s="20" t="s">
        <v>129</v>
      </c>
      <c r="T103" s="20" t="s">
        <v>129</v>
      </c>
    </row>
    <row r="104" spans="1:20" ht="18.75" customHeight="1">
      <c r="A104" s="10">
        <v>51</v>
      </c>
      <c r="B104" s="20" t="s">
        <v>386</v>
      </c>
      <c r="C104" s="20" t="s">
        <v>387</v>
      </c>
      <c r="D104" s="4">
        <v>42</v>
      </c>
      <c r="E104" s="20" t="s">
        <v>388</v>
      </c>
      <c r="F104" s="20" t="s">
        <v>199</v>
      </c>
      <c r="G104" s="39">
        <v>50026</v>
      </c>
      <c r="H104" s="20" t="s">
        <v>163</v>
      </c>
      <c r="I104" s="40">
        <v>45895</v>
      </c>
      <c r="J104" s="40">
        <v>45894</v>
      </c>
      <c r="K104" s="49">
        <v>0.5</v>
      </c>
      <c r="L104" s="49">
        <v>0.99930555555555556</v>
      </c>
      <c r="M104" s="4">
        <v>30</v>
      </c>
      <c r="N104" s="20" t="s">
        <v>166</v>
      </c>
      <c r="O104" s="10">
        <v>400</v>
      </c>
      <c r="P104" s="4">
        <v>7</v>
      </c>
      <c r="Q104" s="4">
        <v>7</v>
      </c>
      <c r="R104" s="20" t="s">
        <v>129</v>
      </c>
      <c r="S104" s="20" t="s">
        <v>129</v>
      </c>
      <c r="T104" s="20" t="s">
        <v>129</v>
      </c>
    </row>
    <row r="105" spans="1:20" ht="18.75" customHeight="1">
      <c r="A105" s="10">
        <v>51</v>
      </c>
      <c r="B105" s="20" t="s">
        <v>389</v>
      </c>
      <c r="C105" s="20" t="s">
        <v>390</v>
      </c>
      <c r="D105" s="4">
        <v>15</v>
      </c>
      <c r="E105" s="20" t="s">
        <v>391</v>
      </c>
      <c r="F105" s="20" t="s">
        <v>392</v>
      </c>
      <c r="G105" s="39">
        <v>12050</v>
      </c>
      <c r="H105" s="20" t="s">
        <v>163</v>
      </c>
      <c r="I105" s="40">
        <v>45895</v>
      </c>
      <c r="J105" s="40">
        <v>45895</v>
      </c>
      <c r="K105" s="49">
        <v>0</v>
      </c>
      <c r="L105" s="49">
        <v>0.58333333333333337</v>
      </c>
      <c r="M105" s="4">
        <v>30</v>
      </c>
      <c r="N105" s="20" t="s">
        <v>170</v>
      </c>
      <c r="O105" s="10">
        <v>400</v>
      </c>
      <c r="P105" s="10">
        <v>7</v>
      </c>
      <c r="Q105" s="4">
        <v>7</v>
      </c>
      <c r="R105" s="20" t="s">
        <v>129</v>
      </c>
      <c r="S105" s="20" t="s">
        <v>129</v>
      </c>
      <c r="T105" s="20" t="s">
        <v>129</v>
      </c>
    </row>
    <row r="106" spans="1:20" ht="18.75" customHeight="1">
      <c r="A106" s="10">
        <v>52</v>
      </c>
      <c r="B106" s="20" t="s">
        <v>393</v>
      </c>
      <c r="C106" s="20" t="s">
        <v>160</v>
      </c>
      <c r="D106" s="4">
        <v>82</v>
      </c>
      <c r="E106" s="20" t="s">
        <v>161</v>
      </c>
      <c r="F106" s="20" t="s">
        <v>162</v>
      </c>
      <c r="G106" s="39">
        <v>14100</v>
      </c>
      <c r="H106" s="20" t="s">
        <v>163</v>
      </c>
      <c r="I106" s="40">
        <v>45892</v>
      </c>
      <c r="J106" s="40">
        <v>45894</v>
      </c>
      <c r="K106" s="49">
        <v>0</v>
      </c>
      <c r="L106" s="49">
        <v>0.99930555555555556</v>
      </c>
      <c r="M106" s="4">
        <v>30</v>
      </c>
      <c r="N106" s="20" t="s">
        <v>166</v>
      </c>
      <c r="O106" s="10">
        <v>159</v>
      </c>
      <c r="P106" s="4">
        <v>2</v>
      </c>
      <c r="Q106" s="4">
        <v>2</v>
      </c>
      <c r="R106" s="20" t="s">
        <v>129</v>
      </c>
      <c r="S106" s="20" t="s">
        <v>129</v>
      </c>
      <c r="T106" s="20" t="s">
        <v>129</v>
      </c>
    </row>
    <row r="107" spans="1:20" ht="18.75" customHeight="1">
      <c r="A107" s="10">
        <v>52</v>
      </c>
      <c r="B107" s="20" t="s">
        <v>244</v>
      </c>
      <c r="C107" s="20" t="s">
        <v>245</v>
      </c>
      <c r="D107" s="4">
        <v>1</v>
      </c>
      <c r="E107" s="20" t="s">
        <v>246</v>
      </c>
      <c r="F107" s="20" t="s">
        <v>247</v>
      </c>
      <c r="G107" s="39">
        <v>29100</v>
      </c>
      <c r="H107" s="20" t="s">
        <v>163</v>
      </c>
      <c r="I107" s="40">
        <v>45892</v>
      </c>
      <c r="J107" s="40">
        <v>45894</v>
      </c>
      <c r="K107" s="49">
        <v>0</v>
      </c>
      <c r="L107" s="49">
        <v>0.70833333333333337</v>
      </c>
      <c r="M107" s="4">
        <v>30</v>
      </c>
      <c r="N107" s="20" t="s">
        <v>170</v>
      </c>
      <c r="O107" s="10">
        <v>159</v>
      </c>
      <c r="P107" s="10">
        <v>2</v>
      </c>
      <c r="Q107" s="4">
        <v>2</v>
      </c>
      <c r="R107" s="20" t="s">
        <v>129</v>
      </c>
      <c r="S107" s="20" t="s">
        <v>129</v>
      </c>
      <c r="T107" s="20" t="s">
        <v>129</v>
      </c>
    </row>
    <row r="108" spans="1:20" ht="18.75" customHeight="1">
      <c r="A108" s="10">
        <v>53</v>
      </c>
      <c r="B108" s="20" t="s">
        <v>192</v>
      </c>
      <c r="C108" s="20" t="s">
        <v>160</v>
      </c>
      <c r="D108" s="4">
        <v>82</v>
      </c>
      <c r="E108" s="20" t="s">
        <v>161</v>
      </c>
      <c r="F108" s="20" t="s">
        <v>162</v>
      </c>
      <c r="G108" s="39">
        <v>14100</v>
      </c>
      <c r="H108" s="20" t="s">
        <v>163</v>
      </c>
      <c r="I108" s="40">
        <v>45892</v>
      </c>
      <c r="J108" s="40">
        <v>45894</v>
      </c>
      <c r="K108" s="49">
        <v>0</v>
      </c>
      <c r="L108" s="49">
        <v>0.99930555555555556</v>
      </c>
      <c r="M108" s="4">
        <v>30</v>
      </c>
      <c r="N108" s="20" t="s">
        <v>166</v>
      </c>
      <c r="O108" s="10">
        <v>217</v>
      </c>
      <c r="P108" s="4">
        <v>1</v>
      </c>
      <c r="Q108" s="4">
        <v>1</v>
      </c>
      <c r="R108" s="20" t="s">
        <v>129</v>
      </c>
      <c r="S108" s="20" t="s">
        <v>129</v>
      </c>
      <c r="T108" s="20" t="s">
        <v>129</v>
      </c>
    </row>
    <row r="109" spans="1:20" ht="18.75" customHeight="1">
      <c r="A109" s="10">
        <v>53</v>
      </c>
      <c r="B109" s="20" t="s">
        <v>196</v>
      </c>
      <c r="C109" s="20" t="s">
        <v>197</v>
      </c>
      <c r="D109" s="4">
        <v>177</v>
      </c>
      <c r="E109" s="20" t="s">
        <v>198</v>
      </c>
      <c r="F109" s="20" t="s">
        <v>199</v>
      </c>
      <c r="G109" s="39">
        <v>50041</v>
      </c>
      <c r="H109" s="20" t="s">
        <v>163</v>
      </c>
      <c r="I109" s="40">
        <v>45892</v>
      </c>
      <c r="J109" s="40">
        <v>45894</v>
      </c>
      <c r="K109" s="49">
        <v>0.29166666666666669</v>
      </c>
      <c r="L109" s="49">
        <v>0.70833333333333337</v>
      </c>
      <c r="M109" s="4">
        <v>30</v>
      </c>
      <c r="N109" s="20" t="s">
        <v>170</v>
      </c>
      <c r="O109" s="10">
        <v>217</v>
      </c>
      <c r="P109" s="10">
        <v>1</v>
      </c>
      <c r="Q109" s="4">
        <v>1</v>
      </c>
      <c r="R109" s="20" t="s">
        <v>129</v>
      </c>
      <c r="S109" s="20" t="s">
        <v>129</v>
      </c>
      <c r="T109" s="20" t="s">
        <v>129</v>
      </c>
    </row>
    <row r="110" spans="1:20" ht="18.75" customHeight="1">
      <c r="A110" s="10">
        <v>54</v>
      </c>
      <c r="B110" s="20" t="s">
        <v>394</v>
      </c>
      <c r="C110" s="20" t="s">
        <v>395</v>
      </c>
      <c r="D110" s="4">
        <v>1</v>
      </c>
      <c r="E110" s="20" t="s">
        <v>396</v>
      </c>
      <c r="F110" s="20" t="s">
        <v>179</v>
      </c>
      <c r="G110" s="39">
        <v>40019</v>
      </c>
      <c r="H110" s="20" t="s">
        <v>163</v>
      </c>
      <c r="I110" s="40">
        <v>45892</v>
      </c>
      <c r="J110" s="40">
        <v>45894</v>
      </c>
      <c r="K110" s="49">
        <v>0</v>
      </c>
      <c r="L110" s="49">
        <v>0.75</v>
      </c>
      <c r="M110" s="4">
        <v>30</v>
      </c>
      <c r="N110" s="20" t="s">
        <v>166</v>
      </c>
      <c r="O110" s="10">
        <v>160</v>
      </c>
      <c r="P110" s="4">
        <v>1</v>
      </c>
      <c r="Q110" s="4">
        <v>2</v>
      </c>
      <c r="R110" s="20" t="s">
        <v>129</v>
      </c>
      <c r="S110" s="20" t="s">
        <v>129</v>
      </c>
      <c r="T110" s="20" t="s">
        <v>129</v>
      </c>
    </row>
    <row r="111" spans="1:20" ht="18.75" customHeight="1">
      <c r="A111" s="10">
        <v>54</v>
      </c>
      <c r="B111" s="20" t="s">
        <v>397</v>
      </c>
      <c r="C111" s="20" t="s">
        <v>398</v>
      </c>
      <c r="D111" s="4">
        <v>18</v>
      </c>
      <c r="E111" s="20" t="s">
        <v>399</v>
      </c>
      <c r="F111" s="20" t="s">
        <v>208</v>
      </c>
      <c r="G111" s="39">
        <v>12062</v>
      </c>
      <c r="H111" s="20" t="s">
        <v>163</v>
      </c>
      <c r="I111" s="40">
        <v>45892</v>
      </c>
      <c r="J111" s="40">
        <v>45896</v>
      </c>
      <c r="K111" s="49">
        <v>0</v>
      </c>
      <c r="L111" s="49">
        <v>0.70833333333333337</v>
      </c>
      <c r="M111" s="4">
        <v>30</v>
      </c>
      <c r="N111" s="20" t="s">
        <v>170</v>
      </c>
      <c r="O111" s="10">
        <v>160</v>
      </c>
      <c r="P111" s="10">
        <v>1</v>
      </c>
      <c r="Q111" s="4">
        <v>2</v>
      </c>
      <c r="R111" s="20" t="s">
        <v>129</v>
      </c>
      <c r="S111" s="20" t="s">
        <v>129</v>
      </c>
      <c r="T111" s="20" t="s">
        <v>129</v>
      </c>
    </row>
    <row r="112" spans="1:20" ht="18.75" customHeight="1">
      <c r="A112" s="10">
        <v>55</v>
      </c>
      <c r="B112" s="20" t="s">
        <v>400</v>
      </c>
      <c r="C112" s="20" t="s">
        <v>160</v>
      </c>
      <c r="D112" s="4">
        <v>82</v>
      </c>
      <c r="E112" s="20" t="s">
        <v>161</v>
      </c>
      <c r="F112" s="20" t="s">
        <v>162</v>
      </c>
      <c r="G112" s="39">
        <v>14100</v>
      </c>
      <c r="H112" s="20" t="s">
        <v>163</v>
      </c>
      <c r="I112" s="40">
        <v>45892</v>
      </c>
      <c r="J112" s="40">
        <v>45894</v>
      </c>
      <c r="K112" s="49">
        <v>0</v>
      </c>
      <c r="L112" s="49">
        <v>0.99930555555555556</v>
      </c>
      <c r="M112" s="4">
        <v>30</v>
      </c>
      <c r="N112" s="20" t="s">
        <v>166</v>
      </c>
      <c r="O112" s="10">
        <v>1000</v>
      </c>
      <c r="P112" s="4">
        <v>8</v>
      </c>
      <c r="Q112" s="4">
        <v>9</v>
      </c>
      <c r="R112" s="20" t="s">
        <v>129</v>
      </c>
      <c r="S112" s="20" t="s">
        <v>129</v>
      </c>
      <c r="T112" s="20" t="s">
        <v>129</v>
      </c>
    </row>
    <row r="113" spans="1:20" ht="18.75" customHeight="1">
      <c r="A113" s="10">
        <v>55</v>
      </c>
      <c r="B113" s="20" t="s">
        <v>401</v>
      </c>
      <c r="C113" s="20" t="s">
        <v>402</v>
      </c>
      <c r="D113" s="4">
        <v>67</v>
      </c>
      <c r="E113" s="20" t="s">
        <v>403</v>
      </c>
      <c r="F113" s="20" t="s">
        <v>404</v>
      </c>
      <c r="G113" s="39">
        <v>36010</v>
      </c>
      <c r="H113" s="20" t="s">
        <v>163</v>
      </c>
      <c r="I113" s="40">
        <v>45892</v>
      </c>
      <c r="J113" s="40">
        <v>45894</v>
      </c>
      <c r="K113" s="49">
        <v>0</v>
      </c>
      <c r="L113" s="49">
        <v>0.70833333333333337</v>
      </c>
      <c r="M113" s="4">
        <v>30</v>
      </c>
      <c r="N113" s="20" t="s">
        <v>170</v>
      </c>
      <c r="O113" s="10">
        <v>1000</v>
      </c>
      <c r="P113" s="10">
        <v>8</v>
      </c>
      <c r="Q113" s="4">
        <v>9</v>
      </c>
      <c r="R113" s="20" t="s">
        <v>129</v>
      </c>
      <c r="S113" s="20" t="s">
        <v>129</v>
      </c>
      <c r="T113" s="20" t="s">
        <v>129</v>
      </c>
    </row>
    <row r="114" spans="1:20" ht="18.75" customHeight="1">
      <c r="A114" s="10">
        <v>56</v>
      </c>
      <c r="B114" s="20" t="s">
        <v>192</v>
      </c>
      <c r="C114" s="20" t="s">
        <v>160</v>
      </c>
      <c r="D114" s="4">
        <v>82</v>
      </c>
      <c r="E114" s="20" t="s">
        <v>161</v>
      </c>
      <c r="F114" s="20" t="s">
        <v>162</v>
      </c>
      <c r="G114" s="39">
        <v>14100</v>
      </c>
      <c r="H114" s="20" t="s">
        <v>163</v>
      </c>
      <c r="I114" s="40">
        <v>45892</v>
      </c>
      <c r="J114" s="40">
        <v>45894</v>
      </c>
      <c r="K114" s="49">
        <v>0</v>
      </c>
      <c r="L114" s="49">
        <v>0.99930555555555556</v>
      </c>
      <c r="M114" s="4">
        <v>30</v>
      </c>
      <c r="N114" s="20" t="s">
        <v>166</v>
      </c>
      <c r="O114" s="10">
        <v>1200</v>
      </c>
      <c r="P114" s="4">
        <v>11</v>
      </c>
      <c r="Q114" s="4">
        <v>11</v>
      </c>
      <c r="R114" s="20" t="s">
        <v>129</v>
      </c>
      <c r="S114" s="20" t="s">
        <v>129</v>
      </c>
      <c r="T114" s="20" t="s">
        <v>129</v>
      </c>
    </row>
    <row r="115" spans="1:20" ht="18.75" customHeight="1">
      <c r="A115" s="10">
        <v>56</v>
      </c>
      <c r="B115" s="20" t="s">
        <v>285</v>
      </c>
      <c r="C115" s="20" t="s">
        <v>160</v>
      </c>
      <c r="D115" s="4">
        <v>11</v>
      </c>
      <c r="E115" s="20" t="s">
        <v>405</v>
      </c>
      <c r="F115" s="20" t="s">
        <v>406</v>
      </c>
      <c r="G115" s="39">
        <v>33048</v>
      </c>
      <c r="H115" s="20" t="s">
        <v>163</v>
      </c>
      <c r="I115" s="40">
        <v>45892</v>
      </c>
      <c r="J115" s="40">
        <v>45894</v>
      </c>
      <c r="K115" s="49">
        <v>0</v>
      </c>
      <c r="L115" s="49">
        <v>0.70833333333333337</v>
      </c>
      <c r="M115" s="4">
        <v>30</v>
      </c>
      <c r="N115" s="20" t="s">
        <v>170</v>
      </c>
      <c r="O115" s="10">
        <v>1200</v>
      </c>
      <c r="P115" s="10">
        <v>11</v>
      </c>
      <c r="Q115" s="4">
        <v>11</v>
      </c>
      <c r="R115" s="20" t="s">
        <v>129</v>
      </c>
      <c r="S115" s="20" t="s">
        <v>129</v>
      </c>
      <c r="T115" s="20" t="s">
        <v>129</v>
      </c>
    </row>
    <row r="116" spans="1:20" ht="18.75" customHeight="1">
      <c r="A116" s="10">
        <v>57</v>
      </c>
      <c r="B116" s="20" t="s">
        <v>229</v>
      </c>
      <c r="C116" s="20" t="s">
        <v>160</v>
      </c>
      <c r="D116" s="4">
        <v>82</v>
      </c>
      <c r="E116" s="20" t="s">
        <v>161</v>
      </c>
      <c r="F116" s="20" t="s">
        <v>162</v>
      </c>
      <c r="G116" s="39">
        <v>14100</v>
      </c>
      <c r="H116" s="20" t="s">
        <v>163</v>
      </c>
      <c r="I116" s="40">
        <v>45892</v>
      </c>
      <c r="J116" s="40">
        <v>45894</v>
      </c>
      <c r="K116" s="49">
        <v>0</v>
      </c>
      <c r="L116" s="49">
        <v>0.99930555555555556</v>
      </c>
      <c r="M116" s="4">
        <v>30</v>
      </c>
      <c r="N116" s="20" t="s">
        <v>166</v>
      </c>
      <c r="O116" s="10">
        <v>2402</v>
      </c>
      <c r="P116" s="4">
        <v>22</v>
      </c>
      <c r="Q116" s="4">
        <v>13</v>
      </c>
      <c r="R116" s="20" t="s">
        <v>129</v>
      </c>
      <c r="S116" s="20" t="s">
        <v>129</v>
      </c>
      <c r="T116" s="20" t="s">
        <v>129</v>
      </c>
    </row>
    <row r="117" spans="1:20" ht="18.75" customHeight="1">
      <c r="A117" s="10">
        <v>57</v>
      </c>
      <c r="B117" s="20" t="s">
        <v>407</v>
      </c>
      <c r="C117" s="20" t="s">
        <v>408</v>
      </c>
      <c r="D117" s="4">
        <v>35</v>
      </c>
      <c r="E117" s="20" t="s">
        <v>409</v>
      </c>
      <c r="F117" s="20" t="s">
        <v>410</v>
      </c>
      <c r="G117" s="39">
        <v>35020</v>
      </c>
      <c r="H117" s="20" t="s">
        <v>163</v>
      </c>
      <c r="I117" s="40">
        <v>45892</v>
      </c>
      <c r="J117" s="40">
        <v>45894</v>
      </c>
      <c r="K117" s="49">
        <v>0</v>
      </c>
      <c r="L117" s="49">
        <v>0.70833333333333337</v>
      </c>
      <c r="M117" s="4">
        <v>30</v>
      </c>
      <c r="N117" s="20" t="s">
        <v>170</v>
      </c>
      <c r="O117" s="10">
        <v>2402</v>
      </c>
      <c r="P117" s="10">
        <v>22</v>
      </c>
      <c r="Q117" s="4">
        <v>13</v>
      </c>
      <c r="R117" s="20" t="s">
        <v>129</v>
      </c>
      <c r="S117" s="20" t="s">
        <v>129</v>
      </c>
      <c r="T117" s="20" t="s">
        <v>129</v>
      </c>
    </row>
    <row r="118" spans="1:20" ht="18.75" customHeight="1">
      <c r="A118" s="10">
        <v>58</v>
      </c>
      <c r="B118" s="20" t="s">
        <v>229</v>
      </c>
      <c r="C118" s="20" t="s">
        <v>160</v>
      </c>
      <c r="D118" s="4">
        <v>82</v>
      </c>
      <c r="E118" s="20" t="s">
        <v>161</v>
      </c>
      <c r="F118" s="20" t="s">
        <v>162</v>
      </c>
      <c r="G118" s="39">
        <v>14100</v>
      </c>
      <c r="H118" s="20" t="s">
        <v>163</v>
      </c>
      <c r="I118" s="40">
        <v>45892</v>
      </c>
      <c r="J118" s="40">
        <v>45894</v>
      </c>
      <c r="K118" s="49">
        <v>0</v>
      </c>
      <c r="L118" s="49">
        <v>0.99930555555555556</v>
      </c>
      <c r="M118" s="4">
        <v>30</v>
      </c>
      <c r="N118" s="20" t="s">
        <v>166</v>
      </c>
      <c r="O118" s="10">
        <v>1720</v>
      </c>
      <c r="P118" s="4">
        <v>4</v>
      </c>
      <c r="Q118" s="4">
        <v>4</v>
      </c>
      <c r="R118" s="20" t="s">
        <v>129</v>
      </c>
      <c r="S118" s="20" t="s">
        <v>129</v>
      </c>
      <c r="T118" s="20" t="s">
        <v>129</v>
      </c>
    </row>
    <row r="119" spans="1:20" ht="18.75" customHeight="1">
      <c r="A119" s="10">
        <v>58</v>
      </c>
      <c r="B119" s="20" t="s">
        <v>411</v>
      </c>
      <c r="C119" s="20" t="s">
        <v>412</v>
      </c>
      <c r="D119" s="4">
        <v>18</v>
      </c>
      <c r="E119" s="20" t="s">
        <v>409</v>
      </c>
      <c r="F119" s="20" t="s">
        <v>410</v>
      </c>
      <c r="G119" s="39">
        <v>35020</v>
      </c>
      <c r="H119" s="20" t="s">
        <v>163</v>
      </c>
      <c r="I119" s="40">
        <v>45892</v>
      </c>
      <c r="J119" s="40">
        <v>45894</v>
      </c>
      <c r="K119" s="49">
        <v>0</v>
      </c>
      <c r="L119" s="49">
        <v>0.70833333333333337</v>
      </c>
      <c r="M119" s="4">
        <v>30</v>
      </c>
      <c r="N119" s="20" t="s">
        <v>170</v>
      </c>
      <c r="O119" s="10">
        <v>1720</v>
      </c>
      <c r="P119" s="10">
        <v>4</v>
      </c>
      <c r="Q119" s="4">
        <v>4</v>
      </c>
      <c r="R119" s="20" t="s">
        <v>129</v>
      </c>
      <c r="S119" s="20" t="s">
        <v>129</v>
      </c>
      <c r="T119" s="20" t="s">
        <v>129</v>
      </c>
    </row>
    <row r="120" spans="1:20" ht="18.75" customHeight="1">
      <c r="A120" s="10">
        <v>59</v>
      </c>
      <c r="B120" s="20" t="s">
        <v>413</v>
      </c>
      <c r="C120" s="20" t="s">
        <v>160</v>
      </c>
      <c r="D120" s="4">
        <v>82</v>
      </c>
      <c r="E120" s="20" t="s">
        <v>161</v>
      </c>
      <c r="F120" s="20" t="s">
        <v>162</v>
      </c>
      <c r="G120" s="39">
        <v>14100</v>
      </c>
      <c r="H120" s="20" t="s">
        <v>163</v>
      </c>
      <c r="I120" s="40">
        <v>45892</v>
      </c>
      <c r="J120" s="40">
        <v>45894</v>
      </c>
      <c r="K120" s="49">
        <v>0</v>
      </c>
      <c r="L120" s="49">
        <v>0.99930555555555556</v>
      </c>
      <c r="M120" s="4">
        <v>30</v>
      </c>
      <c r="N120" s="20" t="s">
        <v>166</v>
      </c>
      <c r="O120" s="10">
        <v>500</v>
      </c>
      <c r="P120" s="4">
        <v>2</v>
      </c>
      <c r="Q120" s="4">
        <v>2</v>
      </c>
      <c r="R120" s="20" t="s">
        <v>129</v>
      </c>
      <c r="S120" s="20" t="s">
        <v>129</v>
      </c>
      <c r="T120" s="20" t="s">
        <v>129</v>
      </c>
    </row>
    <row r="121" spans="1:20" ht="18.75" customHeight="1">
      <c r="A121" s="10">
        <v>59</v>
      </c>
      <c r="B121" s="20" t="s">
        <v>414</v>
      </c>
      <c r="C121" s="20" t="s">
        <v>415</v>
      </c>
      <c r="D121" s="4">
        <v>786</v>
      </c>
      <c r="E121" s="20" t="s">
        <v>416</v>
      </c>
      <c r="F121" s="20" t="s">
        <v>417</v>
      </c>
      <c r="G121" s="39">
        <v>56100</v>
      </c>
      <c r="H121" s="20" t="s">
        <v>163</v>
      </c>
      <c r="I121" s="40">
        <v>45892</v>
      </c>
      <c r="J121" s="40">
        <v>45894</v>
      </c>
      <c r="K121" s="49">
        <v>0</v>
      </c>
      <c r="L121" s="49">
        <v>0.70833333333333337</v>
      </c>
      <c r="M121" s="4">
        <v>30</v>
      </c>
      <c r="N121" s="20" t="s">
        <v>170</v>
      </c>
      <c r="O121" s="10">
        <v>500</v>
      </c>
      <c r="P121" s="10">
        <v>2</v>
      </c>
      <c r="Q121" s="4">
        <v>2</v>
      </c>
      <c r="R121" s="20" t="s">
        <v>129</v>
      </c>
      <c r="S121" s="20" t="s">
        <v>129</v>
      </c>
      <c r="T121" s="20" t="s">
        <v>129</v>
      </c>
    </row>
    <row r="122" spans="1:20" ht="18.75" customHeight="1">
      <c r="A122" s="10">
        <v>60</v>
      </c>
      <c r="B122" s="20" t="s">
        <v>418</v>
      </c>
      <c r="C122" s="20" t="s">
        <v>233</v>
      </c>
      <c r="D122" s="4">
        <v>307</v>
      </c>
      <c r="E122" s="20" t="s">
        <v>419</v>
      </c>
      <c r="F122" s="20" t="s">
        <v>186</v>
      </c>
      <c r="G122" s="39">
        <v>20099</v>
      </c>
      <c r="H122" s="20" t="s">
        <v>163</v>
      </c>
      <c r="I122" s="40">
        <v>45892</v>
      </c>
      <c r="J122" s="40">
        <v>45893</v>
      </c>
      <c r="K122" s="49">
        <v>0</v>
      </c>
      <c r="L122" s="49">
        <v>0.625</v>
      </c>
      <c r="M122" s="4">
        <v>30</v>
      </c>
      <c r="N122" s="20" t="s">
        <v>166</v>
      </c>
      <c r="O122" s="10">
        <v>300</v>
      </c>
      <c r="P122" s="4">
        <v>4</v>
      </c>
      <c r="Q122" s="4">
        <v>5</v>
      </c>
      <c r="R122" s="20" t="s">
        <v>129</v>
      </c>
      <c r="S122" s="20" t="s">
        <v>129</v>
      </c>
      <c r="T122" s="20" t="s">
        <v>130</v>
      </c>
    </row>
    <row r="123" spans="1:20" ht="18.75" customHeight="1">
      <c r="A123" s="10">
        <v>60</v>
      </c>
      <c r="B123" s="20" t="s">
        <v>420</v>
      </c>
      <c r="C123" s="20" t="s">
        <v>421</v>
      </c>
      <c r="D123" s="4">
        <v>20</v>
      </c>
      <c r="E123" s="20" t="s">
        <v>422</v>
      </c>
      <c r="F123" s="20" t="s">
        <v>232</v>
      </c>
      <c r="G123" s="39">
        <v>20814</v>
      </c>
      <c r="H123" s="20" t="s">
        <v>163</v>
      </c>
      <c r="I123" s="40">
        <v>45892</v>
      </c>
      <c r="J123" s="40">
        <v>45893</v>
      </c>
      <c r="K123" s="49">
        <v>0</v>
      </c>
      <c r="L123" s="49">
        <v>0.66666666666666663</v>
      </c>
      <c r="M123" s="4">
        <v>30</v>
      </c>
      <c r="N123" s="20" t="s">
        <v>166</v>
      </c>
      <c r="O123" s="10">
        <v>300</v>
      </c>
      <c r="P123" s="4">
        <v>3</v>
      </c>
      <c r="Q123" s="4">
        <v>3</v>
      </c>
      <c r="R123" s="20" t="s">
        <v>129</v>
      </c>
      <c r="S123" s="20" t="s">
        <v>129</v>
      </c>
      <c r="T123" s="20" t="s">
        <v>130</v>
      </c>
    </row>
    <row r="124" spans="1:20" ht="18.75" customHeight="1">
      <c r="A124" s="10">
        <v>60</v>
      </c>
      <c r="B124" s="20" t="s">
        <v>418</v>
      </c>
      <c r="C124" s="20" t="s">
        <v>423</v>
      </c>
      <c r="D124" s="4">
        <v>217</v>
      </c>
      <c r="E124" s="20" t="s">
        <v>337</v>
      </c>
      <c r="F124" s="20" t="s">
        <v>208</v>
      </c>
      <c r="G124" s="39">
        <v>10151</v>
      </c>
      <c r="H124" s="20" t="s">
        <v>163</v>
      </c>
      <c r="I124" s="40">
        <v>45892</v>
      </c>
      <c r="J124" s="40">
        <v>45894</v>
      </c>
      <c r="K124" s="49">
        <v>0</v>
      </c>
      <c r="L124" s="49">
        <v>0.29166666666666669</v>
      </c>
      <c r="M124" s="4">
        <v>30</v>
      </c>
      <c r="N124" s="20" t="s">
        <v>170</v>
      </c>
      <c r="O124" s="10">
        <v>600</v>
      </c>
      <c r="P124" s="10">
        <v>7</v>
      </c>
      <c r="Q124" s="4">
        <v>8</v>
      </c>
      <c r="R124" s="20" t="s">
        <v>129</v>
      </c>
      <c r="S124" s="20" t="s">
        <v>129</v>
      </c>
      <c r="T124" s="20" t="s">
        <v>130</v>
      </c>
    </row>
    <row r="125" spans="1:20" ht="18.75" customHeight="1">
      <c r="A125" s="10">
        <v>61</v>
      </c>
      <c r="B125" s="20" t="s">
        <v>192</v>
      </c>
      <c r="C125" s="20" t="s">
        <v>160</v>
      </c>
      <c r="D125" s="4">
        <v>82</v>
      </c>
      <c r="E125" s="20" t="s">
        <v>161</v>
      </c>
      <c r="F125" s="20" t="s">
        <v>162</v>
      </c>
      <c r="G125" s="39">
        <v>14100</v>
      </c>
      <c r="H125" s="20" t="s">
        <v>163</v>
      </c>
      <c r="I125" s="40">
        <v>45892</v>
      </c>
      <c r="J125" s="40">
        <v>45894</v>
      </c>
      <c r="K125" s="49">
        <v>0</v>
      </c>
      <c r="L125" s="49">
        <v>0.99930555555555556</v>
      </c>
      <c r="M125" s="4">
        <v>30</v>
      </c>
      <c r="N125" s="20" t="s">
        <v>166</v>
      </c>
      <c r="O125" s="10">
        <v>258</v>
      </c>
      <c r="P125" s="4">
        <v>1.5</v>
      </c>
      <c r="Q125" s="4">
        <v>1</v>
      </c>
      <c r="R125" s="20" t="s">
        <v>129</v>
      </c>
      <c r="S125" s="20" t="s">
        <v>129</v>
      </c>
      <c r="T125" s="20" t="s">
        <v>129</v>
      </c>
    </row>
    <row r="126" spans="1:20" ht="18.75" customHeight="1">
      <c r="A126" s="10">
        <v>61</v>
      </c>
      <c r="B126" s="20" t="s">
        <v>424</v>
      </c>
      <c r="C126" s="20" t="s">
        <v>425</v>
      </c>
      <c r="D126" s="4">
        <v>12</v>
      </c>
      <c r="E126" s="20" t="s">
        <v>426</v>
      </c>
      <c r="F126" s="20" t="s">
        <v>372</v>
      </c>
      <c r="G126" s="39">
        <v>15057</v>
      </c>
      <c r="H126" s="20" t="s">
        <v>163</v>
      </c>
      <c r="I126" s="40">
        <v>45892</v>
      </c>
      <c r="J126" s="40">
        <v>45894</v>
      </c>
      <c r="K126" s="49">
        <v>0</v>
      </c>
      <c r="L126" s="49">
        <v>0.66666666666666663</v>
      </c>
      <c r="M126" s="4">
        <v>30</v>
      </c>
      <c r="N126" s="20" t="s">
        <v>170</v>
      </c>
      <c r="O126" s="10">
        <v>258</v>
      </c>
      <c r="P126" s="10">
        <v>2</v>
      </c>
      <c r="Q126" s="4">
        <v>1</v>
      </c>
      <c r="R126" s="20" t="s">
        <v>129</v>
      </c>
      <c r="S126" s="20" t="s">
        <v>129</v>
      </c>
      <c r="T126" s="20" t="s">
        <v>129</v>
      </c>
    </row>
    <row r="127" spans="1:20" ht="18.75" customHeight="1">
      <c r="A127" s="10">
        <v>62</v>
      </c>
      <c r="B127" s="20" t="s">
        <v>427</v>
      </c>
      <c r="C127" s="20" t="s">
        <v>160</v>
      </c>
      <c r="D127" s="4">
        <v>82</v>
      </c>
      <c r="E127" s="20" t="s">
        <v>161</v>
      </c>
      <c r="F127" s="20" t="s">
        <v>162</v>
      </c>
      <c r="G127" s="39">
        <v>14100</v>
      </c>
      <c r="H127" s="20" t="s">
        <v>163</v>
      </c>
      <c r="I127" s="40">
        <v>45892</v>
      </c>
      <c r="J127" s="40">
        <v>45894</v>
      </c>
      <c r="K127" s="49">
        <v>0</v>
      </c>
      <c r="L127" s="49">
        <v>0.99930555555555556</v>
      </c>
      <c r="M127" s="4">
        <v>30</v>
      </c>
      <c r="N127" s="20" t="s">
        <v>166</v>
      </c>
      <c r="O127" s="10">
        <v>500</v>
      </c>
      <c r="P127" s="4">
        <v>4</v>
      </c>
      <c r="Q127" s="4">
        <v>5</v>
      </c>
      <c r="R127" s="20" t="s">
        <v>129</v>
      </c>
      <c r="S127" s="20" t="s">
        <v>129</v>
      </c>
      <c r="T127" s="20" t="s">
        <v>129</v>
      </c>
    </row>
    <row r="128" spans="1:20" ht="18.75" customHeight="1">
      <c r="A128" s="10">
        <v>62</v>
      </c>
      <c r="B128" s="20" t="s">
        <v>427</v>
      </c>
      <c r="C128" s="20" t="s">
        <v>428</v>
      </c>
      <c r="D128" s="4">
        <v>1</v>
      </c>
      <c r="E128" s="20" t="s">
        <v>429</v>
      </c>
      <c r="F128" s="20" t="s">
        <v>430</v>
      </c>
      <c r="G128" s="39">
        <v>27010</v>
      </c>
      <c r="H128" s="20" t="s">
        <v>163</v>
      </c>
      <c r="I128" s="40">
        <v>45892</v>
      </c>
      <c r="J128" s="40">
        <v>45894</v>
      </c>
      <c r="K128" s="49">
        <v>0</v>
      </c>
      <c r="L128" s="49">
        <v>0.70833333333333337</v>
      </c>
      <c r="M128" s="4">
        <v>30</v>
      </c>
      <c r="N128" s="20" t="s">
        <v>170</v>
      </c>
      <c r="O128" s="10">
        <v>500</v>
      </c>
      <c r="P128" s="10">
        <v>4</v>
      </c>
      <c r="Q128" s="4">
        <v>5</v>
      </c>
      <c r="R128" s="20" t="s">
        <v>129</v>
      </c>
      <c r="S128" s="20" t="s">
        <v>129</v>
      </c>
      <c r="T128" s="20" t="s">
        <v>129</v>
      </c>
    </row>
    <row r="129" spans="1:20" ht="18.75" customHeight="1">
      <c r="A129" s="10">
        <v>63</v>
      </c>
      <c r="B129" s="20" t="s">
        <v>179</v>
      </c>
      <c r="C129" s="20" t="s">
        <v>160</v>
      </c>
      <c r="D129" s="4">
        <v>82</v>
      </c>
      <c r="E129" s="20" t="s">
        <v>161</v>
      </c>
      <c r="F129" s="20" t="s">
        <v>162</v>
      </c>
      <c r="G129" s="39">
        <v>14100</v>
      </c>
      <c r="H129" s="20" t="s">
        <v>163</v>
      </c>
      <c r="I129" s="40">
        <v>45892</v>
      </c>
      <c r="J129" s="40">
        <v>45894</v>
      </c>
      <c r="K129" s="49">
        <v>0</v>
      </c>
      <c r="L129" s="49">
        <v>0.99930555555555556</v>
      </c>
      <c r="M129" s="4">
        <v>30</v>
      </c>
      <c r="N129" s="20" t="s">
        <v>166</v>
      </c>
      <c r="O129" s="10">
        <v>100</v>
      </c>
      <c r="P129" s="4">
        <v>1</v>
      </c>
      <c r="Q129" s="4">
        <v>1</v>
      </c>
      <c r="R129" s="20" t="s">
        <v>129</v>
      </c>
      <c r="S129" s="20" t="s">
        <v>129</v>
      </c>
      <c r="T129" s="20" t="s">
        <v>129</v>
      </c>
    </row>
    <row r="130" spans="1:20" ht="18.75" customHeight="1">
      <c r="A130" s="10">
        <v>63</v>
      </c>
      <c r="B130" s="20" t="s">
        <v>431</v>
      </c>
      <c r="C130" s="20" t="s">
        <v>432</v>
      </c>
      <c r="D130" s="4">
        <v>11</v>
      </c>
      <c r="E130" s="20" t="s">
        <v>433</v>
      </c>
      <c r="F130" s="20" t="s">
        <v>208</v>
      </c>
      <c r="G130" s="39">
        <v>10020</v>
      </c>
      <c r="H130" s="20" t="s">
        <v>163</v>
      </c>
      <c r="I130" s="40">
        <v>45892</v>
      </c>
      <c r="J130" s="40">
        <v>45894</v>
      </c>
      <c r="K130" s="49">
        <v>0</v>
      </c>
      <c r="L130" s="49">
        <v>0.70833333333333337</v>
      </c>
      <c r="M130" s="4">
        <v>30</v>
      </c>
      <c r="N130" s="20" t="s">
        <v>170</v>
      </c>
      <c r="O130" s="10">
        <v>100</v>
      </c>
      <c r="P130" s="10">
        <v>1</v>
      </c>
      <c r="Q130" s="4">
        <v>1</v>
      </c>
      <c r="R130" s="20" t="s">
        <v>129</v>
      </c>
      <c r="S130" s="20" t="s">
        <v>129</v>
      </c>
      <c r="T130" s="20" t="s">
        <v>129</v>
      </c>
    </row>
    <row r="131" spans="1:20" ht="18.75" customHeight="1">
      <c r="A131" s="10">
        <v>64</v>
      </c>
      <c r="B131" s="20" t="s">
        <v>179</v>
      </c>
      <c r="C131" s="20" t="s">
        <v>160</v>
      </c>
      <c r="D131" s="4">
        <v>82</v>
      </c>
      <c r="E131" s="20" t="s">
        <v>161</v>
      </c>
      <c r="F131" s="20" t="s">
        <v>162</v>
      </c>
      <c r="G131" s="39">
        <v>14100</v>
      </c>
      <c r="H131" s="20" t="s">
        <v>163</v>
      </c>
      <c r="I131" s="40">
        <v>45892</v>
      </c>
      <c r="J131" s="40">
        <v>45894</v>
      </c>
      <c r="K131" s="49">
        <v>0</v>
      </c>
      <c r="L131" s="49">
        <v>0.99930555555555556</v>
      </c>
      <c r="M131" s="4">
        <v>30</v>
      </c>
      <c r="N131" s="20" t="s">
        <v>166</v>
      </c>
      <c r="O131" s="10">
        <v>200</v>
      </c>
      <c r="P131" s="4">
        <v>4</v>
      </c>
      <c r="Q131" s="4">
        <v>5</v>
      </c>
      <c r="R131" s="20" t="s">
        <v>129</v>
      </c>
      <c r="S131" s="20" t="s">
        <v>129</v>
      </c>
      <c r="T131" s="20" t="s">
        <v>129</v>
      </c>
    </row>
    <row r="132" spans="1:20" ht="18.75" customHeight="1">
      <c r="A132" s="10">
        <v>64</v>
      </c>
      <c r="B132" s="20" t="s">
        <v>434</v>
      </c>
      <c r="C132" s="20" t="s">
        <v>435</v>
      </c>
      <c r="D132" s="4">
        <v>199</v>
      </c>
      <c r="E132" s="20" t="s">
        <v>337</v>
      </c>
      <c r="F132" s="20" t="s">
        <v>208</v>
      </c>
      <c r="G132" s="39">
        <v>10100</v>
      </c>
      <c r="H132" s="20" t="s">
        <v>163</v>
      </c>
      <c r="I132" s="40">
        <v>45892</v>
      </c>
      <c r="J132" s="40">
        <v>45894</v>
      </c>
      <c r="K132" s="49">
        <v>0</v>
      </c>
      <c r="L132" s="49">
        <v>0.70833333333333337</v>
      </c>
      <c r="M132" s="4">
        <v>30</v>
      </c>
      <c r="N132" s="20" t="s">
        <v>170</v>
      </c>
      <c r="O132" s="10">
        <v>200</v>
      </c>
      <c r="P132" s="10">
        <v>4</v>
      </c>
      <c r="Q132" s="4">
        <v>5</v>
      </c>
      <c r="R132" s="20" t="s">
        <v>129</v>
      </c>
      <c r="S132" s="20" t="s">
        <v>129</v>
      </c>
      <c r="T132" s="20" t="s">
        <v>129</v>
      </c>
    </row>
    <row r="133" spans="1:20" ht="18.75" customHeight="1">
      <c r="A133" s="10">
        <v>65</v>
      </c>
      <c r="B133" s="20" t="s">
        <v>179</v>
      </c>
      <c r="C133" s="20" t="s">
        <v>160</v>
      </c>
      <c r="D133" s="4">
        <v>82</v>
      </c>
      <c r="E133" s="20" t="s">
        <v>161</v>
      </c>
      <c r="F133" s="20" t="s">
        <v>162</v>
      </c>
      <c r="G133" s="39">
        <v>14100</v>
      </c>
      <c r="H133" s="20" t="s">
        <v>163</v>
      </c>
      <c r="I133" s="40">
        <v>45892</v>
      </c>
      <c r="J133" s="40">
        <v>45894</v>
      </c>
      <c r="K133" s="49">
        <v>0</v>
      </c>
      <c r="L133" s="49">
        <v>0.99930555555555556</v>
      </c>
      <c r="M133" s="4">
        <v>30</v>
      </c>
      <c r="N133" s="20" t="s">
        <v>166</v>
      </c>
      <c r="O133" s="10">
        <v>100</v>
      </c>
      <c r="P133" s="4">
        <v>1</v>
      </c>
      <c r="Q133" s="4">
        <v>1</v>
      </c>
      <c r="R133" s="20" t="s">
        <v>129</v>
      </c>
      <c r="S133" s="20" t="s">
        <v>129</v>
      </c>
      <c r="T133" s="20" t="s">
        <v>129</v>
      </c>
    </row>
    <row r="134" spans="1:20" ht="18.75" customHeight="1">
      <c r="A134" s="10">
        <v>65</v>
      </c>
      <c r="B134" s="20" t="s">
        <v>436</v>
      </c>
      <c r="C134" s="20" t="s">
        <v>437</v>
      </c>
      <c r="D134" s="4">
        <v>240</v>
      </c>
      <c r="E134" s="20" t="s">
        <v>214</v>
      </c>
      <c r="F134" s="20" t="s">
        <v>208</v>
      </c>
      <c r="G134" s="39">
        <v>10098</v>
      </c>
      <c r="H134" s="20" t="s">
        <v>163</v>
      </c>
      <c r="I134" s="40">
        <v>45892</v>
      </c>
      <c r="J134" s="40">
        <v>45894</v>
      </c>
      <c r="K134" s="49">
        <v>0</v>
      </c>
      <c r="L134" s="49">
        <v>0.70833333333333337</v>
      </c>
      <c r="M134" s="4">
        <v>30</v>
      </c>
      <c r="N134" s="20" t="s">
        <v>170</v>
      </c>
      <c r="O134" s="10">
        <v>100</v>
      </c>
      <c r="P134" s="10">
        <v>1</v>
      </c>
      <c r="Q134" s="4">
        <v>1</v>
      </c>
      <c r="R134" s="20" t="s">
        <v>129</v>
      </c>
      <c r="S134" s="20" t="s">
        <v>129</v>
      </c>
      <c r="T134" s="20" t="s">
        <v>129</v>
      </c>
    </row>
    <row r="135" spans="1:20" ht="18.75" customHeight="1">
      <c r="A135" s="10">
        <v>66</v>
      </c>
      <c r="B135" s="20" t="s">
        <v>179</v>
      </c>
      <c r="C135" s="20" t="s">
        <v>160</v>
      </c>
      <c r="D135" s="4">
        <v>82</v>
      </c>
      <c r="E135" s="20" t="s">
        <v>161</v>
      </c>
      <c r="F135" s="20" t="s">
        <v>162</v>
      </c>
      <c r="G135" s="39">
        <v>14100</v>
      </c>
      <c r="H135" s="20" t="s">
        <v>163</v>
      </c>
      <c r="I135" s="40">
        <v>45892</v>
      </c>
      <c r="J135" s="40">
        <v>45894</v>
      </c>
      <c r="K135" s="49">
        <v>0</v>
      </c>
      <c r="L135" s="49">
        <v>0.99930555555555556</v>
      </c>
      <c r="M135" s="4">
        <v>30</v>
      </c>
      <c r="N135" s="20" t="s">
        <v>166</v>
      </c>
      <c r="O135" s="10">
        <v>100</v>
      </c>
      <c r="P135" s="4">
        <v>1</v>
      </c>
      <c r="Q135" s="4">
        <v>1</v>
      </c>
      <c r="R135" s="20" t="s">
        <v>129</v>
      </c>
      <c r="S135" s="20" t="s">
        <v>129</v>
      </c>
      <c r="T135" s="20" t="s">
        <v>129</v>
      </c>
    </row>
    <row r="136" spans="1:20" ht="18.75" customHeight="1">
      <c r="A136" s="10">
        <v>66</v>
      </c>
      <c r="B136" s="20" t="s">
        <v>180</v>
      </c>
      <c r="C136" s="20" t="s">
        <v>438</v>
      </c>
      <c r="D136" s="4">
        <v>36</v>
      </c>
      <c r="E136" s="20" t="s">
        <v>439</v>
      </c>
      <c r="F136" s="20" t="s">
        <v>440</v>
      </c>
      <c r="G136" s="39">
        <v>25017</v>
      </c>
      <c r="H136" s="20" t="s">
        <v>163</v>
      </c>
      <c r="I136" s="40">
        <v>45892</v>
      </c>
      <c r="J136" s="40">
        <v>45894</v>
      </c>
      <c r="K136" s="49">
        <v>0</v>
      </c>
      <c r="L136" s="49">
        <v>0.70833333333333337</v>
      </c>
      <c r="M136" s="4">
        <v>30</v>
      </c>
      <c r="N136" s="20" t="s">
        <v>170</v>
      </c>
      <c r="O136" s="10">
        <v>100</v>
      </c>
      <c r="P136" s="10">
        <v>1</v>
      </c>
      <c r="Q136" s="4">
        <v>1</v>
      </c>
      <c r="R136" s="20" t="s">
        <v>129</v>
      </c>
      <c r="S136" s="20" t="s">
        <v>129</v>
      </c>
      <c r="T136" s="20" t="s">
        <v>129</v>
      </c>
    </row>
    <row r="137" spans="1:20" ht="18.75" customHeight="1">
      <c r="A137" s="10">
        <v>67</v>
      </c>
      <c r="B137" s="20" t="s">
        <v>179</v>
      </c>
      <c r="C137" s="20" t="s">
        <v>160</v>
      </c>
      <c r="D137" s="4">
        <v>82</v>
      </c>
      <c r="E137" s="20" t="s">
        <v>161</v>
      </c>
      <c r="F137" s="20" t="s">
        <v>162</v>
      </c>
      <c r="G137" s="39">
        <v>14100</v>
      </c>
      <c r="H137" s="20" t="s">
        <v>163</v>
      </c>
      <c r="I137" s="40">
        <v>45892</v>
      </c>
      <c r="J137" s="40">
        <v>45894</v>
      </c>
      <c r="K137" s="49">
        <v>0</v>
      </c>
      <c r="L137" s="49">
        <v>0.99930555555555556</v>
      </c>
      <c r="M137" s="4">
        <v>30</v>
      </c>
      <c r="N137" s="20" t="s">
        <v>166</v>
      </c>
      <c r="O137" s="10">
        <v>100</v>
      </c>
      <c r="P137" s="4">
        <v>1</v>
      </c>
      <c r="Q137" s="4">
        <v>1</v>
      </c>
      <c r="R137" s="20" t="s">
        <v>129</v>
      </c>
      <c r="S137" s="20" t="s">
        <v>129</v>
      </c>
      <c r="T137" s="20" t="s">
        <v>129</v>
      </c>
    </row>
    <row r="138" spans="1:20" ht="18.75" customHeight="1">
      <c r="A138" s="10">
        <v>67</v>
      </c>
      <c r="B138" s="20" t="s">
        <v>441</v>
      </c>
      <c r="C138" s="20" t="s">
        <v>442</v>
      </c>
      <c r="D138" s="4">
        <v>36</v>
      </c>
      <c r="E138" s="20" t="s">
        <v>443</v>
      </c>
      <c r="F138" s="20" t="s">
        <v>440</v>
      </c>
      <c r="G138" s="39">
        <v>25030</v>
      </c>
      <c r="H138" s="20" t="s">
        <v>163</v>
      </c>
      <c r="I138" s="40">
        <v>45892</v>
      </c>
      <c r="J138" s="40">
        <v>45894</v>
      </c>
      <c r="K138" s="49">
        <v>0</v>
      </c>
      <c r="L138" s="49">
        <v>0.70833333333333337</v>
      </c>
      <c r="M138" s="4">
        <v>30</v>
      </c>
      <c r="N138" s="20" t="s">
        <v>170</v>
      </c>
      <c r="O138" s="10">
        <v>100</v>
      </c>
      <c r="P138" s="10">
        <v>1</v>
      </c>
      <c r="Q138" s="4">
        <v>1</v>
      </c>
      <c r="R138" s="20" t="s">
        <v>129</v>
      </c>
      <c r="S138" s="20" t="s">
        <v>129</v>
      </c>
      <c r="T138" s="20" t="s">
        <v>129</v>
      </c>
    </row>
    <row r="139" spans="1:20" ht="18.75" customHeight="1">
      <c r="A139" s="10">
        <v>68</v>
      </c>
      <c r="B139" s="20" t="s">
        <v>179</v>
      </c>
      <c r="C139" s="20" t="s">
        <v>160</v>
      </c>
      <c r="D139" s="4">
        <v>82</v>
      </c>
      <c r="E139" s="20" t="s">
        <v>161</v>
      </c>
      <c r="F139" s="20" t="s">
        <v>162</v>
      </c>
      <c r="G139" s="39">
        <v>14100</v>
      </c>
      <c r="H139" s="20" t="s">
        <v>163</v>
      </c>
      <c r="I139" s="40">
        <v>45892</v>
      </c>
      <c r="J139" s="40">
        <v>45894</v>
      </c>
      <c r="K139" s="49">
        <v>0</v>
      </c>
      <c r="L139" s="49">
        <v>0.99930555555555556</v>
      </c>
      <c r="M139" s="4">
        <v>30</v>
      </c>
      <c r="N139" s="20" t="s">
        <v>166</v>
      </c>
      <c r="O139" s="10">
        <v>200</v>
      </c>
      <c r="P139" s="4">
        <v>2</v>
      </c>
      <c r="Q139" s="4">
        <v>2</v>
      </c>
      <c r="R139" s="20" t="s">
        <v>129</v>
      </c>
      <c r="S139" s="20" t="s">
        <v>129</v>
      </c>
      <c r="T139" s="20" t="s">
        <v>129</v>
      </c>
    </row>
    <row r="140" spans="1:20" ht="18.75" customHeight="1">
      <c r="A140" s="10">
        <v>68</v>
      </c>
      <c r="B140" s="20" t="s">
        <v>444</v>
      </c>
      <c r="C140" s="20" t="s">
        <v>445</v>
      </c>
      <c r="D140" s="4">
        <v>50</v>
      </c>
      <c r="E140" s="20" t="s">
        <v>446</v>
      </c>
      <c r="F140" s="20" t="s">
        <v>447</v>
      </c>
      <c r="G140" s="39">
        <v>26010</v>
      </c>
      <c r="H140" s="20" t="s">
        <v>163</v>
      </c>
      <c r="I140" s="40">
        <v>45892</v>
      </c>
      <c r="J140" s="40">
        <v>45894</v>
      </c>
      <c r="K140" s="49">
        <v>0</v>
      </c>
      <c r="L140" s="49">
        <v>0.70833333333333337</v>
      </c>
      <c r="M140" s="4">
        <v>30</v>
      </c>
      <c r="N140" s="20" t="s">
        <v>170</v>
      </c>
      <c r="O140" s="10">
        <v>200</v>
      </c>
      <c r="P140" s="10">
        <v>2</v>
      </c>
      <c r="Q140" s="4">
        <v>2</v>
      </c>
      <c r="R140" s="20" t="s">
        <v>129</v>
      </c>
      <c r="S140" s="20" t="s">
        <v>129</v>
      </c>
      <c r="T140" s="20" t="s">
        <v>129</v>
      </c>
    </row>
    <row r="141" spans="1:20" ht="18.75" customHeight="1">
      <c r="A141" s="10">
        <v>69</v>
      </c>
      <c r="B141" s="20" t="s">
        <v>448</v>
      </c>
      <c r="C141" s="20" t="s">
        <v>378</v>
      </c>
      <c r="D141" s="4">
        <v>60</v>
      </c>
      <c r="E141" s="20" t="s">
        <v>449</v>
      </c>
      <c r="F141" s="20" t="s">
        <v>186</v>
      </c>
      <c r="G141" s="39">
        <v>20017</v>
      </c>
      <c r="H141" s="20" t="s">
        <v>163</v>
      </c>
      <c r="I141" s="40">
        <v>45894</v>
      </c>
      <c r="J141" s="40">
        <v>45894</v>
      </c>
      <c r="K141" s="49">
        <v>0</v>
      </c>
      <c r="L141" s="49">
        <v>0.58333333333333337</v>
      </c>
      <c r="M141" s="4">
        <v>30</v>
      </c>
      <c r="N141" s="20" t="s">
        <v>166</v>
      </c>
      <c r="O141" s="10">
        <v>150</v>
      </c>
      <c r="P141" s="4">
        <v>1</v>
      </c>
      <c r="Q141" s="4">
        <v>1</v>
      </c>
      <c r="R141" s="20" t="s">
        <v>129</v>
      </c>
      <c r="S141" s="20" t="s">
        <v>129</v>
      </c>
      <c r="T141" s="20" t="s">
        <v>129</v>
      </c>
    </row>
    <row r="142" spans="1:20" ht="18.75" customHeight="1">
      <c r="A142" s="10">
        <v>69</v>
      </c>
      <c r="B142" s="20" t="s">
        <v>450</v>
      </c>
      <c r="C142" s="20" t="s">
        <v>451</v>
      </c>
      <c r="D142" s="4">
        <v>3</v>
      </c>
      <c r="E142" s="20" t="s">
        <v>452</v>
      </c>
      <c r="F142" s="20" t="s">
        <v>208</v>
      </c>
      <c r="G142" s="39">
        <v>10030</v>
      </c>
      <c r="H142" s="20" t="s">
        <v>163</v>
      </c>
      <c r="I142" s="40">
        <v>45894</v>
      </c>
      <c r="J142" s="40">
        <v>45895</v>
      </c>
      <c r="K142" s="49">
        <v>0</v>
      </c>
      <c r="L142" s="49">
        <v>0.25</v>
      </c>
      <c r="M142" s="4">
        <v>30</v>
      </c>
      <c r="N142" s="20" t="s">
        <v>170</v>
      </c>
      <c r="O142" s="10">
        <v>150</v>
      </c>
      <c r="P142" s="10">
        <v>1</v>
      </c>
      <c r="Q142" s="4">
        <v>1</v>
      </c>
      <c r="R142" s="20" t="s">
        <v>129</v>
      </c>
      <c r="S142" s="20" t="s">
        <v>129</v>
      </c>
      <c r="T142" s="20" t="s">
        <v>129</v>
      </c>
    </row>
    <row r="143" spans="1:20" ht="18.75" customHeight="1">
      <c r="A143" s="10">
        <v>70</v>
      </c>
      <c r="B143" s="20" t="s">
        <v>453</v>
      </c>
      <c r="C143" s="20" t="s">
        <v>160</v>
      </c>
      <c r="D143" s="4">
        <v>82</v>
      </c>
      <c r="E143" s="20" t="s">
        <v>161</v>
      </c>
      <c r="F143" s="20" t="s">
        <v>162</v>
      </c>
      <c r="G143" s="39">
        <v>14100</v>
      </c>
      <c r="H143" s="20" t="s">
        <v>163</v>
      </c>
      <c r="I143" s="40">
        <v>45892</v>
      </c>
      <c r="J143" s="40">
        <v>45894</v>
      </c>
      <c r="K143" s="49">
        <v>0</v>
      </c>
      <c r="L143" s="49">
        <v>0.99930555555555556</v>
      </c>
      <c r="M143" s="4">
        <v>30</v>
      </c>
      <c r="N143" s="20" t="s">
        <v>166</v>
      </c>
      <c r="O143" s="10">
        <v>360</v>
      </c>
      <c r="P143" s="4">
        <v>3</v>
      </c>
      <c r="Q143" s="4">
        <v>2</v>
      </c>
      <c r="R143" s="20" t="s">
        <v>129</v>
      </c>
      <c r="S143" s="20" t="s">
        <v>129</v>
      </c>
      <c r="T143" s="20" t="s">
        <v>129</v>
      </c>
    </row>
    <row r="144" spans="1:20" ht="18.75" customHeight="1">
      <c r="A144" s="10">
        <v>70</v>
      </c>
      <c r="B144" s="20" t="s">
        <v>453</v>
      </c>
      <c r="C144" s="20" t="s">
        <v>454</v>
      </c>
      <c r="D144" s="4">
        <v>8</v>
      </c>
      <c r="E144" s="20" t="s">
        <v>455</v>
      </c>
      <c r="F144" s="20" t="s">
        <v>178</v>
      </c>
      <c r="G144" s="39">
        <v>22070</v>
      </c>
      <c r="H144" s="20" t="s">
        <v>163</v>
      </c>
      <c r="I144" s="40">
        <v>45892</v>
      </c>
      <c r="J144" s="40">
        <v>45894</v>
      </c>
      <c r="K144" s="49">
        <v>0</v>
      </c>
      <c r="L144" s="49">
        <v>0.99930555555555556</v>
      </c>
      <c r="M144" s="4">
        <v>30</v>
      </c>
      <c r="N144" s="20" t="s">
        <v>166</v>
      </c>
      <c r="O144" s="10">
        <v>0</v>
      </c>
      <c r="P144" s="4">
        <v>0</v>
      </c>
      <c r="Q144" s="4">
        <v>0</v>
      </c>
      <c r="R144" s="20" t="s">
        <v>129</v>
      </c>
      <c r="S144" s="20" t="s">
        <v>129</v>
      </c>
      <c r="T144" s="20" t="s">
        <v>129</v>
      </c>
    </row>
    <row r="145" spans="1:20" ht="18.75" customHeight="1">
      <c r="A145" s="10">
        <v>70</v>
      </c>
      <c r="B145" s="20" t="s">
        <v>453</v>
      </c>
      <c r="C145" s="20" t="s">
        <v>456</v>
      </c>
      <c r="D145" s="4">
        <v>2</v>
      </c>
      <c r="E145" s="20" t="s">
        <v>457</v>
      </c>
      <c r="F145" s="20"/>
      <c r="G145" s="39">
        <v>6830</v>
      </c>
      <c r="H145" s="20" t="s">
        <v>458</v>
      </c>
      <c r="I145" s="40">
        <v>45892</v>
      </c>
      <c r="J145" s="40">
        <v>45894</v>
      </c>
      <c r="K145" s="49">
        <v>0</v>
      </c>
      <c r="L145" s="49">
        <v>0.99930555555555556</v>
      </c>
      <c r="M145" s="4">
        <v>30</v>
      </c>
      <c r="N145" s="20" t="s">
        <v>166</v>
      </c>
      <c r="O145" s="10">
        <v>0</v>
      </c>
      <c r="P145" s="4">
        <v>0</v>
      </c>
      <c r="Q145" s="4">
        <v>0</v>
      </c>
      <c r="R145" s="20" t="s">
        <v>129</v>
      </c>
      <c r="S145" s="20" t="s">
        <v>129</v>
      </c>
      <c r="T145" s="20" t="s">
        <v>129</v>
      </c>
    </row>
    <row r="146" spans="1:20" ht="18.75" customHeight="1">
      <c r="A146" s="10">
        <v>70</v>
      </c>
      <c r="B146" s="20" t="s">
        <v>459</v>
      </c>
      <c r="C146" s="20" t="s">
        <v>460</v>
      </c>
      <c r="D146" s="4">
        <v>16</v>
      </c>
      <c r="E146" s="20" t="s">
        <v>461</v>
      </c>
      <c r="F146" s="20"/>
      <c r="G146" s="39">
        <v>4614</v>
      </c>
      <c r="H146" s="20" t="s">
        <v>458</v>
      </c>
      <c r="I146" s="40">
        <v>45892</v>
      </c>
      <c r="J146" s="40">
        <v>45894</v>
      </c>
      <c r="K146" s="49">
        <v>0</v>
      </c>
      <c r="L146" s="49">
        <v>0.70833333333333337</v>
      </c>
      <c r="M146" s="4">
        <v>30</v>
      </c>
      <c r="N146" s="20" t="s">
        <v>170</v>
      </c>
      <c r="O146" s="10">
        <v>360</v>
      </c>
      <c r="P146" s="10">
        <v>3</v>
      </c>
      <c r="Q146" s="4">
        <v>2</v>
      </c>
      <c r="R146" s="20" t="s">
        <v>129</v>
      </c>
      <c r="S146" s="20" t="s">
        <v>129</v>
      </c>
      <c r="T146" s="20" t="s">
        <v>129</v>
      </c>
    </row>
    <row r="147" spans="1:20" ht="18.75" customHeight="1">
      <c r="A147" s="10">
        <v>71</v>
      </c>
      <c r="B147" s="20" t="s">
        <v>462</v>
      </c>
      <c r="C147" s="20" t="s">
        <v>160</v>
      </c>
      <c r="D147" s="4">
        <v>82</v>
      </c>
      <c r="E147" s="20" t="s">
        <v>161</v>
      </c>
      <c r="F147" s="20" t="s">
        <v>162</v>
      </c>
      <c r="G147" s="39">
        <v>14100</v>
      </c>
      <c r="H147" s="20" t="s">
        <v>163</v>
      </c>
      <c r="I147" s="40">
        <v>45892</v>
      </c>
      <c r="J147" s="40">
        <v>45894</v>
      </c>
      <c r="K147" s="49">
        <v>0</v>
      </c>
      <c r="L147" s="49">
        <v>0.99930555555555556</v>
      </c>
      <c r="M147" s="4">
        <v>30</v>
      </c>
      <c r="N147" s="20" t="s">
        <v>166</v>
      </c>
      <c r="O147" s="10">
        <v>141</v>
      </c>
      <c r="P147" s="4">
        <v>1</v>
      </c>
      <c r="Q147" s="4">
        <v>1</v>
      </c>
      <c r="R147" s="20" t="s">
        <v>129</v>
      </c>
      <c r="S147" s="20" t="s">
        <v>129</v>
      </c>
      <c r="T147" s="20" t="s">
        <v>129</v>
      </c>
    </row>
    <row r="148" spans="1:20" ht="18.75" customHeight="1">
      <c r="A148" s="10">
        <v>71</v>
      </c>
      <c r="B148" s="20" t="s">
        <v>463</v>
      </c>
      <c r="C148" s="20" t="s">
        <v>464</v>
      </c>
      <c r="D148" s="4">
        <v>3</v>
      </c>
      <c r="E148" s="20" t="s">
        <v>465</v>
      </c>
      <c r="F148" s="20" t="s">
        <v>466</v>
      </c>
      <c r="G148" s="39">
        <v>60019</v>
      </c>
      <c r="H148" s="20" t="s">
        <v>163</v>
      </c>
      <c r="I148" s="40">
        <v>45892</v>
      </c>
      <c r="J148" s="40">
        <v>45894</v>
      </c>
      <c r="K148" s="49">
        <v>0</v>
      </c>
      <c r="L148" s="49">
        <v>0.70833333333333337</v>
      </c>
      <c r="M148" s="4">
        <v>30</v>
      </c>
      <c r="N148" s="20" t="s">
        <v>170</v>
      </c>
      <c r="O148" s="10">
        <v>141</v>
      </c>
      <c r="P148" s="10">
        <v>1</v>
      </c>
      <c r="Q148" s="4">
        <v>1</v>
      </c>
      <c r="R148" s="20" t="s">
        <v>129</v>
      </c>
      <c r="S148" s="20" t="s">
        <v>129</v>
      </c>
      <c r="T148" s="20" t="s">
        <v>129</v>
      </c>
    </row>
    <row r="149" spans="1:20" ht="18.75" customHeight="1">
      <c r="B149" s="20"/>
      <c r="C149" s="20"/>
      <c r="D149" s="4"/>
      <c r="E149" s="20"/>
      <c r="F149" s="20"/>
      <c r="G149" s="39"/>
      <c r="H149" s="20"/>
      <c r="I149" s="40"/>
      <c r="J149" s="40"/>
      <c r="K149" s="49"/>
      <c r="L149" s="49"/>
      <c r="M149" s="4"/>
      <c r="N149" s="20"/>
      <c r="P149" s="4"/>
      <c r="Q149" s="4"/>
      <c r="R149" s="20"/>
      <c r="S149" s="20"/>
      <c r="T149" s="20"/>
    </row>
    <row r="150" spans="1:20" ht="18.75" customHeight="1">
      <c r="B150" s="20"/>
      <c r="C150" s="20"/>
      <c r="D150" s="4"/>
      <c r="E150" s="20"/>
      <c r="F150" s="20"/>
      <c r="G150" s="39"/>
      <c r="H150" s="20"/>
      <c r="I150" s="40"/>
      <c r="J150" s="40"/>
      <c r="K150" s="49"/>
      <c r="L150" s="49"/>
      <c r="M150" s="4"/>
      <c r="N150" s="20"/>
      <c r="Q150" s="4"/>
      <c r="R150" s="20"/>
      <c r="S150" s="20"/>
      <c r="T150" s="20"/>
    </row>
    <row r="151" spans="1:20" ht="18.75" customHeight="1">
      <c r="B151" s="20"/>
      <c r="C151" s="20"/>
      <c r="D151" s="4"/>
      <c r="E151" s="20"/>
      <c r="F151" s="20"/>
      <c r="G151" s="39"/>
      <c r="H151" s="20"/>
      <c r="I151" s="40"/>
      <c r="J151" s="40"/>
      <c r="K151" s="49"/>
      <c r="L151" s="49"/>
      <c r="M151" s="4"/>
      <c r="N151" s="20"/>
      <c r="P151" s="4"/>
      <c r="Q151" s="4"/>
      <c r="R151" s="20"/>
      <c r="S151" s="20"/>
      <c r="T151" s="20"/>
    </row>
    <row r="152" spans="1:20" ht="18.75" customHeight="1">
      <c r="B152" s="20"/>
      <c r="C152" s="20"/>
      <c r="D152" s="4"/>
      <c r="E152" s="20"/>
      <c r="F152" s="20"/>
      <c r="G152" s="39"/>
      <c r="H152" s="20"/>
      <c r="I152" s="40"/>
      <c r="J152" s="40"/>
      <c r="K152" s="49"/>
      <c r="L152" s="49"/>
      <c r="M152" s="4"/>
      <c r="N152" s="20"/>
      <c r="Q152" s="4"/>
      <c r="R152" s="20"/>
      <c r="S152" s="20"/>
      <c r="T152" s="20"/>
    </row>
    <row r="153" spans="1:20" ht="18.75" customHeight="1">
      <c r="B153" s="20"/>
      <c r="C153" s="20"/>
      <c r="D153" s="4"/>
      <c r="E153" s="20"/>
      <c r="F153" s="20"/>
      <c r="G153" s="39"/>
      <c r="H153" s="20"/>
      <c r="I153" s="40"/>
      <c r="J153" s="40"/>
      <c r="K153" s="49"/>
      <c r="L153" s="49"/>
      <c r="M153" s="4"/>
      <c r="N153" s="20"/>
      <c r="P153" s="4"/>
      <c r="Q153" s="4"/>
      <c r="R153" s="20"/>
      <c r="S153" s="20"/>
      <c r="T153" s="20"/>
    </row>
    <row r="154" spans="1:20" ht="18.75" customHeight="1">
      <c r="B154" s="20"/>
      <c r="C154" s="20"/>
      <c r="D154" s="4"/>
      <c r="E154" s="20"/>
      <c r="F154" s="20"/>
      <c r="G154" s="39"/>
      <c r="H154" s="20"/>
      <c r="I154" s="40"/>
      <c r="J154" s="40"/>
      <c r="K154" s="49"/>
      <c r="L154" s="49"/>
      <c r="M154" s="4"/>
      <c r="N154" s="20"/>
      <c r="Q154" s="4"/>
      <c r="R154" s="20"/>
      <c r="S154" s="20"/>
      <c r="T154" s="20"/>
    </row>
    <row r="155" spans="1:20" ht="18.75" customHeight="1">
      <c r="B155" s="41"/>
      <c r="C155" s="41"/>
      <c r="D155" s="42"/>
      <c r="E155" s="41"/>
      <c r="F155" s="41"/>
      <c r="G155" s="43"/>
      <c r="H155" s="41"/>
      <c r="I155" s="44"/>
      <c r="J155" s="44"/>
      <c r="K155" s="50"/>
      <c r="L155" s="50"/>
      <c r="M155" s="42"/>
      <c r="N155" s="41"/>
      <c r="O155" s="42"/>
      <c r="P155" s="42"/>
      <c r="Q155" s="42"/>
      <c r="R155" s="41"/>
      <c r="S155" s="41"/>
    </row>
    <row r="156" spans="1:20" ht="18.75" customHeight="1">
      <c r="B156" s="41"/>
      <c r="C156" s="41"/>
      <c r="D156" s="42"/>
      <c r="E156" s="41"/>
      <c r="F156" s="41"/>
      <c r="G156" s="43"/>
      <c r="H156" s="41"/>
      <c r="I156" s="44"/>
      <c r="J156" s="44"/>
      <c r="K156" s="50"/>
      <c r="L156" s="50"/>
      <c r="M156" s="42"/>
      <c r="N156" s="41"/>
      <c r="O156" s="42"/>
      <c r="P156" s="42"/>
      <c r="Q156" s="42"/>
      <c r="R156" s="41"/>
      <c r="S156" s="41"/>
    </row>
    <row r="157" spans="1:20" ht="18.75" customHeight="1">
      <c r="B157" s="41"/>
      <c r="C157" s="41"/>
      <c r="D157" s="42"/>
      <c r="E157" s="41"/>
      <c r="F157" s="41"/>
      <c r="G157" s="43"/>
      <c r="H157" s="41"/>
      <c r="I157" s="44"/>
      <c r="J157" s="44"/>
      <c r="K157" s="50"/>
      <c r="L157" s="50"/>
      <c r="M157" s="42"/>
      <c r="N157" s="41"/>
      <c r="O157" s="42"/>
      <c r="P157" s="42"/>
      <c r="Q157" s="42"/>
      <c r="R157" s="41"/>
      <c r="S157" s="41"/>
    </row>
    <row r="158" spans="1:20" ht="18.75" customHeight="1">
      <c r="B158" s="41"/>
      <c r="C158" s="41"/>
      <c r="D158" s="42"/>
      <c r="E158" s="41"/>
      <c r="F158" s="41"/>
      <c r="G158" s="43"/>
      <c r="H158" s="41"/>
      <c r="I158" s="44"/>
      <c r="J158" s="44"/>
      <c r="K158" s="50"/>
      <c r="L158" s="50"/>
      <c r="M158" s="42"/>
      <c r="N158" s="41"/>
      <c r="O158" s="42"/>
      <c r="P158" s="42"/>
      <c r="Q158" s="42"/>
      <c r="R158" s="41"/>
      <c r="S158" s="41"/>
    </row>
    <row r="159" spans="1:20" ht="18.75" customHeight="1">
      <c r="B159" s="41"/>
      <c r="C159" s="41"/>
      <c r="D159" s="42"/>
      <c r="E159" s="41"/>
      <c r="F159" s="41"/>
      <c r="G159" s="43"/>
      <c r="H159" s="41"/>
      <c r="I159" s="44"/>
      <c r="J159" s="44"/>
      <c r="K159" s="50"/>
      <c r="L159" s="50"/>
      <c r="M159" s="42"/>
      <c r="N159" s="41"/>
      <c r="O159" s="42"/>
      <c r="P159" s="42"/>
      <c r="Q159" s="42"/>
      <c r="R159" s="41"/>
      <c r="S159" s="41"/>
    </row>
    <row r="160" spans="1:20" ht="18.75" customHeight="1">
      <c r="B160" s="41"/>
      <c r="C160" s="41"/>
      <c r="D160" s="42"/>
      <c r="E160" s="41"/>
      <c r="F160" s="41"/>
      <c r="G160" s="43"/>
      <c r="H160" s="41"/>
      <c r="I160" s="44"/>
      <c r="J160" s="44"/>
      <c r="K160" s="50"/>
      <c r="L160" s="50"/>
      <c r="M160" s="42"/>
      <c r="N160" s="41"/>
      <c r="O160" s="42"/>
      <c r="P160" s="42"/>
      <c r="Q160" s="42"/>
      <c r="R160" s="41"/>
      <c r="S160" s="41"/>
    </row>
    <row r="161" spans="2:19" ht="18.75" customHeight="1">
      <c r="B161" s="41"/>
      <c r="C161" s="41"/>
      <c r="D161" s="42"/>
      <c r="E161" s="41"/>
      <c r="F161" s="41"/>
      <c r="G161" s="43"/>
      <c r="H161" s="41"/>
      <c r="I161" s="44"/>
      <c r="J161" s="44"/>
      <c r="K161" s="50"/>
      <c r="L161" s="50"/>
      <c r="M161" s="42"/>
      <c r="N161" s="41"/>
      <c r="O161" s="42"/>
      <c r="P161" s="42"/>
      <c r="Q161" s="42"/>
      <c r="R161" s="41"/>
      <c r="S161" s="41"/>
    </row>
    <row r="162" spans="2:19" ht="18.75" customHeight="1">
      <c r="B162" s="41"/>
      <c r="C162" s="41"/>
      <c r="D162" s="42"/>
      <c r="E162" s="41"/>
      <c r="F162" s="41"/>
      <c r="G162" s="43"/>
      <c r="H162" s="41"/>
      <c r="I162" s="44"/>
      <c r="J162" s="44"/>
      <c r="K162" s="50"/>
      <c r="L162" s="50"/>
      <c r="M162" s="42"/>
      <c r="N162" s="41"/>
      <c r="O162" s="42"/>
      <c r="P162" s="42"/>
      <c r="Q162" s="42"/>
      <c r="R162" s="41"/>
      <c r="S162" s="41"/>
    </row>
    <row r="163" spans="2:19" ht="18.75" customHeight="1">
      <c r="B163" s="41"/>
      <c r="C163" s="41"/>
      <c r="D163" s="42"/>
      <c r="E163" s="41"/>
      <c r="F163" s="41"/>
      <c r="G163" s="43"/>
      <c r="H163" s="41"/>
      <c r="I163" s="44"/>
      <c r="J163" s="44"/>
      <c r="K163" s="50"/>
      <c r="L163" s="50"/>
      <c r="M163" s="42"/>
      <c r="N163" s="41"/>
      <c r="O163" s="42"/>
      <c r="P163" s="42"/>
      <c r="Q163" s="42"/>
      <c r="R163" s="41"/>
      <c r="S163" s="41"/>
    </row>
    <row r="164" spans="2:19" ht="18.75" customHeight="1">
      <c r="B164" s="41"/>
      <c r="C164" s="41"/>
      <c r="D164" s="42"/>
      <c r="E164" s="41"/>
      <c r="F164" s="41"/>
      <c r="G164" s="43"/>
      <c r="H164" s="41"/>
      <c r="I164" s="44"/>
      <c r="J164" s="44"/>
      <c r="K164" s="50"/>
      <c r="L164" s="50"/>
      <c r="M164" s="42"/>
      <c r="N164" s="41"/>
      <c r="O164" s="42"/>
      <c r="P164" s="42"/>
      <c r="Q164" s="42"/>
      <c r="R164" s="41"/>
      <c r="S164" s="41"/>
    </row>
    <row r="165" spans="2:19" ht="18.75" customHeight="1">
      <c r="B165" s="41"/>
      <c r="C165" s="41"/>
      <c r="D165" s="42"/>
      <c r="E165" s="41"/>
      <c r="F165" s="41"/>
      <c r="G165" s="43"/>
      <c r="H165" s="41"/>
      <c r="I165" s="44"/>
      <c r="J165" s="44"/>
      <c r="K165" s="50"/>
      <c r="L165" s="50"/>
      <c r="M165" s="42"/>
      <c r="N165" s="41"/>
      <c r="O165" s="42"/>
      <c r="P165" s="42"/>
      <c r="Q165" s="42"/>
      <c r="R165" s="41"/>
      <c r="S165" s="41"/>
    </row>
    <row r="166" spans="2:19" ht="18.75" customHeight="1">
      <c r="B166" s="41"/>
      <c r="C166" s="41"/>
      <c r="D166" s="42"/>
      <c r="E166" s="41"/>
      <c r="F166" s="41"/>
      <c r="G166" s="43"/>
      <c r="H166" s="41"/>
      <c r="I166" s="44"/>
      <c r="J166" s="44"/>
      <c r="K166" s="50"/>
      <c r="L166" s="50"/>
      <c r="M166" s="42"/>
      <c r="N166" s="41"/>
      <c r="O166" s="42"/>
      <c r="P166" s="42"/>
      <c r="Q166" s="42"/>
      <c r="R166" s="41"/>
      <c r="S166" s="41"/>
    </row>
    <row r="167" spans="2:19" ht="18.75" customHeight="1">
      <c r="B167" s="41"/>
      <c r="C167" s="41"/>
      <c r="D167" s="42"/>
      <c r="E167" s="41"/>
      <c r="F167" s="41"/>
      <c r="G167" s="43"/>
      <c r="H167" s="41"/>
      <c r="I167" s="44"/>
      <c r="J167" s="44"/>
      <c r="K167" s="50"/>
      <c r="L167" s="50"/>
      <c r="M167" s="42"/>
      <c r="N167" s="41"/>
      <c r="O167" s="42"/>
      <c r="P167" s="42"/>
      <c r="Q167" s="42"/>
      <c r="R167" s="41"/>
      <c r="S167" s="41"/>
    </row>
    <row r="168" spans="2:19" ht="18.75" customHeight="1">
      <c r="B168" s="41"/>
      <c r="C168" s="41"/>
      <c r="D168" s="42"/>
      <c r="E168" s="41"/>
      <c r="F168" s="41"/>
      <c r="G168" s="43"/>
      <c r="H168" s="41"/>
      <c r="I168" s="44"/>
      <c r="J168" s="44"/>
      <c r="K168" s="50"/>
      <c r="L168" s="50"/>
      <c r="M168" s="42"/>
      <c r="N168" s="41"/>
      <c r="O168" s="42"/>
      <c r="P168" s="42"/>
      <c r="Q168" s="42"/>
      <c r="R168" s="41"/>
      <c r="S168" s="41"/>
    </row>
    <row r="169" spans="2:19" ht="18.75" customHeight="1">
      <c r="B169" s="41"/>
      <c r="C169" s="41"/>
      <c r="D169" s="42"/>
      <c r="E169" s="41"/>
      <c r="F169" s="41"/>
      <c r="G169" s="43"/>
      <c r="H169" s="41"/>
      <c r="I169" s="44"/>
      <c r="J169" s="44"/>
      <c r="K169" s="50"/>
      <c r="L169" s="50"/>
      <c r="M169" s="42"/>
      <c r="N169" s="41"/>
      <c r="O169" s="42"/>
      <c r="P169" s="42"/>
      <c r="Q169" s="42"/>
      <c r="R169" s="41"/>
      <c r="S169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56"/>
  <sheetViews>
    <sheetView workbookViewId="0">
      <pane ySplit="1" topLeftCell="A3" activePane="bottomLeft" state="frozen"/>
      <selection pane="bottomLeft" activeCell="D13" sqref="D13"/>
    </sheetView>
  </sheetViews>
  <sheetFormatPr defaultRowHeight="14.5"/>
  <cols>
    <col min="1" max="1" width="18.54296875" bestFit="1" customWidth="1"/>
    <col min="2" max="2" width="21.453125" style="28" bestFit="1" customWidth="1"/>
    <col min="3" max="3" width="22.453125" style="29" bestFit="1" customWidth="1"/>
    <col min="4" max="4" width="15.54296875" style="29" bestFit="1" customWidth="1"/>
    <col min="5" max="5" width="16.81640625" style="30" bestFit="1" customWidth="1"/>
    <col min="6" max="6" width="21" style="30" bestFit="1" customWidth="1"/>
    <col min="7" max="7" width="14.453125" style="29" bestFit="1" customWidth="1"/>
    <col min="8" max="8" width="14.453125" style="28" bestFit="1" customWidth="1"/>
    <col min="9" max="9" width="17.54296875" style="28" bestFit="1" customWidth="1"/>
    <col min="10" max="10" width="19.54296875" style="28" bestFit="1" customWidth="1"/>
    <col min="11" max="11" width="13.54296875" style="28" bestFit="1" customWidth="1"/>
    <col min="12" max="12" width="21.453125" style="28" bestFit="1" customWidth="1"/>
    <col min="13" max="13" width="18.54296875" style="28" bestFit="1" customWidth="1"/>
    <col min="14" max="14" width="13.54296875" style="28" bestFit="1" customWidth="1"/>
    <col min="15" max="18" width="13.54296875" bestFit="1" customWidth="1"/>
    <col min="19" max="19" width="20.54296875" style="10" bestFit="1" customWidth="1"/>
    <col min="20" max="20" width="13.54296875" style="15" bestFit="1" customWidth="1"/>
    <col min="21" max="21" width="13.54296875" style="10" bestFit="1" customWidth="1"/>
  </cols>
  <sheetData>
    <row r="1" spans="1:21" ht="18.75" customHeight="1">
      <c r="A1" s="1" t="s">
        <v>0</v>
      </c>
      <c r="B1" s="1" t="s">
        <v>117</v>
      </c>
      <c r="C1" s="2" t="s">
        <v>118</v>
      </c>
      <c r="D1" s="2" t="s">
        <v>119</v>
      </c>
      <c r="E1" s="13" t="s">
        <v>120</v>
      </c>
      <c r="F1" s="13" t="s">
        <v>121</v>
      </c>
      <c r="G1" s="2" t="s">
        <v>122</v>
      </c>
      <c r="H1" s="1" t="s">
        <v>123</v>
      </c>
      <c r="I1" s="1" t="s">
        <v>124</v>
      </c>
      <c r="J1" s="14" t="s">
        <v>125</v>
      </c>
      <c r="K1" s="1" t="s">
        <v>126</v>
      </c>
      <c r="L1" s="1" t="s">
        <v>127</v>
      </c>
      <c r="M1" s="1"/>
      <c r="N1" s="1"/>
      <c r="O1" s="1"/>
      <c r="P1" s="1"/>
      <c r="Q1" s="1"/>
    </row>
    <row r="2" spans="1:21" ht="18.75" customHeight="1">
      <c r="A2" s="5" t="s">
        <v>7</v>
      </c>
      <c r="B2" s="16" t="s">
        <v>128</v>
      </c>
      <c r="C2" s="4">
        <v>800</v>
      </c>
      <c r="D2" s="4">
        <v>9</v>
      </c>
      <c r="E2" s="17">
        <f>2.06*2.3*4.6</f>
        <v>21.794799999999995</v>
      </c>
      <c r="F2" s="17">
        <v>0.6</v>
      </c>
      <c r="G2" s="4">
        <v>50</v>
      </c>
      <c r="H2" s="18" t="s">
        <v>129</v>
      </c>
      <c r="I2" s="18" t="s">
        <v>129</v>
      </c>
      <c r="J2" s="19" t="s">
        <v>130</v>
      </c>
      <c r="K2" s="19" t="s">
        <v>130</v>
      </c>
      <c r="L2" s="20" t="s">
        <v>129</v>
      </c>
      <c r="M2" s="20"/>
      <c r="N2" s="20"/>
    </row>
    <row r="3" spans="1:21" ht="18.75" customHeight="1">
      <c r="A3" s="6" t="s">
        <v>10</v>
      </c>
      <c r="B3" s="21" t="s">
        <v>131</v>
      </c>
      <c r="C3" s="4">
        <v>13500</v>
      </c>
      <c r="D3" s="4">
        <v>23</v>
      </c>
      <c r="E3" s="22">
        <f>2.48*2.82*9.6</f>
        <v>67.138559999999998</v>
      </c>
      <c r="F3" s="22">
        <v>1.1499999999999999</v>
      </c>
      <c r="G3" s="4">
        <v>50</v>
      </c>
      <c r="H3" s="19" t="s">
        <v>130</v>
      </c>
      <c r="I3" s="18" t="s">
        <v>129</v>
      </c>
      <c r="J3" s="18" t="s">
        <v>129</v>
      </c>
      <c r="K3" s="18" t="s">
        <v>129</v>
      </c>
      <c r="L3" s="20" t="s">
        <v>130</v>
      </c>
      <c r="M3" s="20"/>
      <c r="N3" s="20"/>
    </row>
    <row r="4" spans="1:21" ht="18.75" customHeight="1">
      <c r="A4" s="5" t="s">
        <v>12</v>
      </c>
      <c r="B4" s="16" t="s">
        <v>128</v>
      </c>
      <c r="C4" s="4">
        <v>700</v>
      </c>
      <c r="D4" s="4">
        <v>8</v>
      </c>
      <c r="E4" s="17">
        <f>2.06*2.1*4.2</f>
        <v>18.169200000000004</v>
      </c>
      <c r="F4" s="17">
        <v>0.6</v>
      </c>
      <c r="G4" s="4">
        <v>50</v>
      </c>
      <c r="H4" s="18" t="s">
        <v>129</v>
      </c>
      <c r="I4" s="19" t="s">
        <v>130</v>
      </c>
      <c r="J4" s="19" t="s">
        <v>130</v>
      </c>
      <c r="K4" s="18" t="s">
        <v>129</v>
      </c>
      <c r="L4" s="20" t="s">
        <v>129</v>
      </c>
      <c r="M4" s="20"/>
      <c r="N4" s="20"/>
    </row>
    <row r="5" spans="1:21" ht="18.75" customHeight="1">
      <c r="A5" s="6" t="s">
        <v>14</v>
      </c>
      <c r="B5" s="21" t="s">
        <v>131</v>
      </c>
      <c r="C5" s="4">
        <v>8000</v>
      </c>
      <c r="D5" s="4">
        <v>20</v>
      </c>
      <c r="E5" s="22">
        <f>2.48*2.8*8.2</f>
        <v>56.940799999999996</v>
      </c>
      <c r="F5" s="23">
        <v>1</v>
      </c>
      <c r="G5" s="4">
        <v>50</v>
      </c>
      <c r="H5" s="19" t="s">
        <v>130</v>
      </c>
      <c r="I5" s="18" t="s">
        <v>129</v>
      </c>
      <c r="J5" s="18" t="s">
        <v>129</v>
      </c>
      <c r="K5" s="18" t="s">
        <v>129</v>
      </c>
      <c r="L5" s="20" t="s">
        <v>130</v>
      </c>
      <c r="M5" s="20"/>
      <c r="N5" s="20"/>
    </row>
    <row r="6" spans="1:21" ht="18.75" customHeight="1">
      <c r="A6" s="7" t="s">
        <v>16</v>
      </c>
      <c r="B6" s="24" t="s">
        <v>128</v>
      </c>
      <c r="C6" s="4">
        <v>800</v>
      </c>
      <c r="D6" s="4">
        <v>4</v>
      </c>
      <c r="E6" s="17">
        <f>1.55*1.65*3.2</f>
        <v>8.1840000000000011</v>
      </c>
      <c r="F6" s="17">
        <v>0.45</v>
      </c>
      <c r="G6" s="4">
        <v>50</v>
      </c>
      <c r="H6" s="18" t="s">
        <v>129</v>
      </c>
      <c r="I6" s="19" t="s">
        <v>130</v>
      </c>
      <c r="J6" s="19" t="s">
        <v>130</v>
      </c>
      <c r="K6" s="18" t="s">
        <v>129</v>
      </c>
      <c r="L6" s="20" t="s">
        <v>129</v>
      </c>
      <c r="M6" s="20"/>
      <c r="N6" s="20"/>
      <c r="T6" s="15" t="s">
        <v>132</v>
      </c>
      <c r="U6" s="10" t="s">
        <v>133</v>
      </c>
    </row>
    <row r="7" spans="1:21" ht="18.75" customHeight="1">
      <c r="A7" s="5" t="s">
        <v>18</v>
      </c>
      <c r="B7" s="16" t="s">
        <v>128</v>
      </c>
      <c r="C7" s="4">
        <v>700</v>
      </c>
      <c r="D7" s="4">
        <v>8</v>
      </c>
      <c r="E7" s="17">
        <f>2.06*2.1*4.2</f>
        <v>18.169200000000004</v>
      </c>
      <c r="F7" s="17">
        <v>0.6</v>
      </c>
      <c r="G7" s="4">
        <v>50</v>
      </c>
      <c r="H7" s="18" t="s">
        <v>129</v>
      </c>
      <c r="I7" s="19" t="s">
        <v>130</v>
      </c>
      <c r="J7" s="19" t="s">
        <v>130</v>
      </c>
      <c r="K7" s="18" t="s">
        <v>129</v>
      </c>
      <c r="L7" s="20" t="s">
        <v>129</v>
      </c>
      <c r="M7" s="20"/>
      <c r="N7" s="20"/>
    </row>
    <row r="8" spans="1:21" ht="18.75" customHeight="1">
      <c r="A8" s="5" t="s">
        <v>22</v>
      </c>
      <c r="B8" s="16" t="s">
        <v>128</v>
      </c>
      <c r="C8" s="4">
        <v>700</v>
      </c>
      <c r="D8" s="4">
        <v>10</v>
      </c>
      <c r="E8" s="17">
        <f>2.06*2.4*4.98</f>
        <v>24.621120000000001</v>
      </c>
      <c r="F8" s="17">
        <v>0.6</v>
      </c>
      <c r="G8" s="4">
        <v>50</v>
      </c>
      <c r="H8" s="18" t="s">
        <v>129</v>
      </c>
      <c r="I8" s="18" t="s">
        <v>129</v>
      </c>
      <c r="J8" s="19" t="s">
        <v>130</v>
      </c>
      <c r="K8" s="19" t="s">
        <v>130</v>
      </c>
      <c r="L8" s="20" t="s">
        <v>129</v>
      </c>
      <c r="M8" s="20"/>
      <c r="N8" s="20"/>
      <c r="S8" s="10" t="s">
        <v>134</v>
      </c>
      <c r="T8" s="17">
        <v>0.45</v>
      </c>
      <c r="U8" s="4">
        <v>16000</v>
      </c>
    </row>
    <row r="9" spans="1:21" ht="18.75" customHeight="1">
      <c r="A9" s="7" t="s">
        <v>24</v>
      </c>
      <c r="B9" s="24" t="s">
        <v>128</v>
      </c>
      <c r="C9" s="4">
        <v>800</v>
      </c>
      <c r="D9" s="4">
        <v>6</v>
      </c>
      <c r="E9" s="17">
        <f>1.6*1.8*4.7</f>
        <v>13.536000000000001</v>
      </c>
      <c r="F9" s="17">
        <v>0.45</v>
      </c>
      <c r="G9" s="4">
        <v>50</v>
      </c>
      <c r="H9" s="18" t="s">
        <v>129</v>
      </c>
      <c r="I9" s="18" t="s">
        <v>129</v>
      </c>
      <c r="J9" s="19" t="s">
        <v>130</v>
      </c>
      <c r="K9" s="19" t="s">
        <v>130</v>
      </c>
      <c r="L9" s="20" t="s">
        <v>129</v>
      </c>
      <c r="M9" s="20"/>
      <c r="N9" s="20"/>
      <c r="S9" s="10" t="s">
        <v>135</v>
      </c>
      <c r="T9" s="17">
        <v>0.6</v>
      </c>
      <c r="U9" s="4">
        <v>15000</v>
      </c>
    </row>
    <row r="10" spans="1:21" ht="18.75" customHeight="1">
      <c r="A10" s="7" t="s">
        <v>26</v>
      </c>
      <c r="B10" s="24" t="s">
        <v>128</v>
      </c>
      <c r="C10" s="4">
        <v>800</v>
      </c>
      <c r="D10" s="4">
        <v>6</v>
      </c>
      <c r="E10" s="17">
        <v>13.536000000000001</v>
      </c>
      <c r="F10" s="17">
        <v>0.45</v>
      </c>
      <c r="G10" s="4">
        <v>50</v>
      </c>
      <c r="H10" s="18" t="s">
        <v>129</v>
      </c>
      <c r="I10" s="18" t="s">
        <v>129</v>
      </c>
      <c r="J10" s="19" t="s">
        <v>130</v>
      </c>
      <c r="K10" s="19" t="s">
        <v>130</v>
      </c>
      <c r="L10" s="20" t="s">
        <v>129</v>
      </c>
      <c r="M10" s="20"/>
      <c r="N10" s="20"/>
      <c r="S10" s="10" t="s">
        <v>136</v>
      </c>
      <c r="T10" s="17">
        <v>0.63</v>
      </c>
    </row>
    <row r="11" spans="1:21" ht="18.75" customHeight="1">
      <c r="A11" s="5" t="s">
        <v>28</v>
      </c>
      <c r="B11" s="16" t="s">
        <v>128</v>
      </c>
      <c r="C11" s="4">
        <v>700</v>
      </c>
      <c r="D11" s="4">
        <v>10</v>
      </c>
      <c r="E11" s="17">
        <f>2.06*2.4*4.98</f>
        <v>24.621120000000001</v>
      </c>
      <c r="F11" s="17">
        <v>0.6</v>
      </c>
      <c r="G11" s="4">
        <v>50</v>
      </c>
      <c r="H11" s="18" t="s">
        <v>129</v>
      </c>
      <c r="I11" s="18" t="s">
        <v>129</v>
      </c>
      <c r="J11" s="19" t="s">
        <v>130</v>
      </c>
      <c r="K11" s="19" t="s">
        <v>130</v>
      </c>
      <c r="L11" s="20" t="s">
        <v>129</v>
      </c>
      <c r="M11" s="20"/>
      <c r="N11" s="20"/>
      <c r="S11" s="10" t="s">
        <v>137</v>
      </c>
      <c r="T11" s="17">
        <v>0.68</v>
      </c>
    </row>
    <row r="12" spans="1:21" ht="18.75" customHeight="1">
      <c r="A12" s="6" t="s">
        <v>30</v>
      </c>
      <c r="B12" s="21" t="s">
        <v>131</v>
      </c>
      <c r="C12" s="4">
        <v>2100</v>
      </c>
      <c r="D12" s="4">
        <v>16</v>
      </c>
      <c r="E12" s="22">
        <f>2.48*2.8*6.6</f>
        <v>45.830399999999997</v>
      </c>
      <c r="F12" s="23">
        <v>1</v>
      </c>
      <c r="G12" s="4">
        <v>50</v>
      </c>
      <c r="H12" s="18" t="s">
        <v>129</v>
      </c>
      <c r="I12" s="18" t="s">
        <v>129</v>
      </c>
      <c r="J12" s="18" t="s">
        <v>129</v>
      </c>
      <c r="K12" s="18" t="s">
        <v>129</v>
      </c>
      <c r="L12" s="20" t="s">
        <v>130</v>
      </c>
      <c r="M12" s="20"/>
      <c r="N12" s="20"/>
      <c r="S12" s="10" t="s">
        <v>138</v>
      </c>
      <c r="T12" s="17">
        <v>0.65</v>
      </c>
    </row>
    <row r="13" spans="1:21" ht="18.75" customHeight="1">
      <c r="A13" s="6" t="s">
        <v>32</v>
      </c>
      <c r="B13" s="21" t="s">
        <v>131</v>
      </c>
      <c r="C13" s="4">
        <v>5000</v>
      </c>
      <c r="D13" s="4">
        <v>18</v>
      </c>
      <c r="E13" s="22">
        <f>2.48*2.8*7.6</f>
        <v>52.7744</v>
      </c>
      <c r="F13" s="23">
        <v>1</v>
      </c>
      <c r="G13" s="4">
        <v>50</v>
      </c>
      <c r="H13" s="19" t="s">
        <v>130</v>
      </c>
      <c r="I13" s="18" t="s">
        <v>129</v>
      </c>
      <c r="J13" s="18" t="s">
        <v>129</v>
      </c>
      <c r="K13" s="18" t="s">
        <v>129</v>
      </c>
      <c r="L13" s="20" t="s">
        <v>130</v>
      </c>
      <c r="M13" s="20"/>
      <c r="N13" s="20"/>
      <c r="S13" s="10" t="s">
        <v>139</v>
      </c>
      <c r="T13" s="17">
        <v>0.68</v>
      </c>
    </row>
    <row r="14" spans="1:21" ht="18.75" customHeight="1">
      <c r="A14" s="5" t="s">
        <v>34</v>
      </c>
      <c r="B14" s="16" t="s">
        <v>128</v>
      </c>
      <c r="C14" s="4">
        <v>700</v>
      </c>
      <c r="D14" s="4">
        <v>10</v>
      </c>
      <c r="E14" s="17">
        <f>2.06*2.4*4.98</f>
        <v>24.621120000000001</v>
      </c>
      <c r="F14" s="17">
        <v>0.6</v>
      </c>
      <c r="G14" s="4">
        <v>50</v>
      </c>
      <c r="H14" s="18" t="s">
        <v>129</v>
      </c>
      <c r="I14" s="18" t="s">
        <v>129</v>
      </c>
      <c r="J14" s="19" t="s">
        <v>130</v>
      </c>
      <c r="K14" s="19" t="s">
        <v>130</v>
      </c>
      <c r="L14" s="20" t="s">
        <v>129</v>
      </c>
      <c r="M14" s="20"/>
      <c r="N14" s="20"/>
      <c r="S14" s="10" t="s">
        <v>140</v>
      </c>
      <c r="T14" s="4">
        <v>1</v>
      </c>
      <c r="U14" s="4">
        <v>12000</v>
      </c>
    </row>
    <row r="15" spans="1:21" ht="18.75" customHeight="1">
      <c r="A15" s="6" t="s">
        <v>37</v>
      </c>
      <c r="B15" s="21" t="s">
        <v>131</v>
      </c>
      <c r="C15" s="4">
        <v>2100</v>
      </c>
      <c r="D15" s="4">
        <v>16</v>
      </c>
      <c r="E15" s="22">
        <f>2.48*2.8*6.7</f>
        <v>46.524799999999999</v>
      </c>
      <c r="F15" s="23">
        <v>1</v>
      </c>
      <c r="G15" s="4">
        <v>50</v>
      </c>
      <c r="H15" s="18" t="s">
        <v>129</v>
      </c>
      <c r="I15" s="18" t="s">
        <v>129</v>
      </c>
      <c r="J15" s="18" t="s">
        <v>129</v>
      </c>
      <c r="K15" s="18" t="s">
        <v>129</v>
      </c>
      <c r="L15" s="20" t="s">
        <v>130</v>
      </c>
      <c r="M15" s="20"/>
      <c r="N15" s="20"/>
      <c r="S15" s="4">
        <v>16</v>
      </c>
      <c r="T15" s="17">
        <v>1.1000000000000001</v>
      </c>
      <c r="U15" s="4">
        <v>12000</v>
      </c>
    </row>
    <row r="16" spans="1:21" ht="18.75" customHeight="1">
      <c r="A16" s="6" t="s">
        <v>39</v>
      </c>
      <c r="B16" s="21" t="s">
        <v>131</v>
      </c>
      <c r="C16" s="4">
        <v>8000</v>
      </c>
      <c r="D16" s="4">
        <v>18</v>
      </c>
      <c r="E16" s="22">
        <f>2.48*2.8*7.7</f>
        <v>53.468800000000002</v>
      </c>
      <c r="F16" s="23">
        <v>1</v>
      </c>
      <c r="G16" s="4">
        <v>50</v>
      </c>
      <c r="H16" s="19" t="s">
        <v>130</v>
      </c>
      <c r="I16" s="18" t="s">
        <v>129</v>
      </c>
      <c r="J16" s="18" t="s">
        <v>129</v>
      </c>
      <c r="K16" s="18" t="s">
        <v>129</v>
      </c>
      <c r="L16" s="20" t="s">
        <v>130</v>
      </c>
      <c r="M16" s="20"/>
      <c r="N16" s="20"/>
      <c r="S16" s="4">
        <v>26</v>
      </c>
      <c r="T16" s="17">
        <v>1.1499999999999999</v>
      </c>
      <c r="U16" s="4">
        <v>12000</v>
      </c>
    </row>
    <row r="17" spans="1:21" ht="18.75" customHeight="1">
      <c r="A17" s="7" t="s">
        <v>41</v>
      </c>
      <c r="B17" s="24" t="s">
        <v>128</v>
      </c>
      <c r="C17" s="4">
        <v>900</v>
      </c>
      <c r="D17" s="4">
        <v>5</v>
      </c>
      <c r="E17" s="17">
        <f>1.6*1.8*4.3</f>
        <v>12.384</v>
      </c>
      <c r="F17" s="17">
        <v>0.45</v>
      </c>
      <c r="G17" s="4">
        <v>50</v>
      </c>
      <c r="H17" s="18" t="s">
        <v>129</v>
      </c>
      <c r="I17" s="18" t="s">
        <v>129</v>
      </c>
      <c r="J17" s="19" t="s">
        <v>130</v>
      </c>
      <c r="K17" s="19" t="s">
        <v>130</v>
      </c>
      <c r="L17" s="20" t="s">
        <v>129</v>
      </c>
      <c r="M17" s="20"/>
      <c r="N17" s="20"/>
      <c r="S17" s="10" t="s">
        <v>141</v>
      </c>
      <c r="T17" s="17">
        <v>1.25</v>
      </c>
      <c r="U17" s="4">
        <v>14000</v>
      </c>
    </row>
    <row r="18" spans="1:21" ht="18.75" customHeight="1">
      <c r="A18" s="7" t="s">
        <v>43</v>
      </c>
      <c r="B18" s="24" t="s">
        <v>128</v>
      </c>
      <c r="C18" s="4">
        <v>800</v>
      </c>
      <c r="D18" s="4">
        <v>6</v>
      </c>
      <c r="E18" s="17">
        <f>1.6*1.8*4.7</f>
        <v>13.536000000000001</v>
      </c>
      <c r="F18" s="17">
        <v>0.45</v>
      </c>
      <c r="G18" s="4">
        <v>50</v>
      </c>
      <c r="H18" s="18" t="s">
        <v>129</v>
      </c>
      <c r="I18" s="18" t="s">
        <v>129</v>
      </c>
      <c r="J18" s="19" t="s">
        <v>130</v>
      </c>
      <c r="K18" s="19" t="s">
        <v>130</v>
      </c>
      <c r="L18" s="20" t="s">
        <v>129</v>
      </c>
      <c r="M18" s="20"/>
      <c r="N18" s="20"/>
      <c r="S18" s="10" t="s">
        <v>142</v>
      </c>
      <c r="T18" s="17">
        <v>1.35</v>
      </c>
      <c r="U18" s="4">
        <v>14000</v>
      </c>
    </row>
    <row r="19" spans="1:21" ht="18.75" customHeight="1">
      <c r="A19" s="6" t="s">
        <v>45</v>
      </c>
      <c r="B19" s="21" t="s">
        <v>131</v>
      </c>
      <c r="C19" s="4">
        <v>8500</v>
      </c>
      <c r="D19" s="4">
        <v>19</v>
      </c>
      <c r="E19" s="22">
        <f>2.48*2.8*7.9</f>
        <v>54.857600000000005</v>
      </c>
      <c r="F19" s="23">
        <v>1</v>
      </c>
      <c r="G19" s="4">
        <v>50</v>
      </c>
      <c r="H19" s="18" t="s">
        <v>129</v>
      </c>
      <c r="I19" s="18" t="s">
        <v>129</v>
      </c>
      <c r="J19" s="18" t="s">
        <v>129</v>
      </c>
      <c r="K19" s="18" t="s">
        <v>129</v>
      </c>
      <c r="L19" s="20" t="s">
        <v>130</v>
      </c>
      <c r="M19" s="20"/>
      <c r="N19" s="20"/>
    </row>
    <row r="20" spans="1:21" ht="18.75" customHeight="1">
      <c r="A20" s="7" t="s">
        <v>47</v>
      </c>
      <c r="B20" s="24" t="s">
        <v>128</v>
      </c>
      <c r="C20" s="4">
        <v>800</v>
      </c>
      <c r="D20" s="4">
        <v>6</v>
      </c>
      <c r="E20" s="17">
        <f>1.6*1.8*4.7</f>
        <v>13.536000000000001</v>
      </c>
      <c r="F20" s="17">
        <v>0.45</v>
      </c>
      <c r="G20" s="4">
        <v>50</v>
      </c>
      <c r="H20" s="18" t="s">
        <v>129</v>
      </c>
      <c r="I20" s="18" t="s">
        <v>129</v>
      </c>
      <c r="J20" s="19" t="s">
        <v>130</v>
      </c>
      <c r="K20" s="19" t="s">
        <v>130</v>
      </c>
      <c r="L20" s="20" t="s">
        <v>129</v>
      </c>
      <c r="M20" s="20"/>
      <c r="N20" s="20"/>
    </row>
    <row r="21" spans="1:21" ht="18.75" customHeight="1">
      <c r="A21" s="5" t="s">
        <v>49</v>
      </c>
      <c r="B21" s="16" t="s">
        <v>128</v>
      </c>
      <c r="C21" s="4">
        <v>700</v>
      </c>
      <c r="D21" s="4">
        <v>10</v>
      </c>
      <c r="E21" s="17">
        <f>2.06*2.4*4.98</f>
        <v>24.621120000000001</v>
      </c>
      <c r="F21" s="17">
        <v>0.6</v>
      </c>
      <c r="G21" s="4">
        <v>50</v>
      </c>
      <c r="H21" s="18" t="s">
        <v>129</v>
      </c>
      <c r="I21" s="18" t="s">
        <v>129</v>
      </c>
      <c r="J21" s="19" t="s">
        <v>130</v>
      </c>
      <c r="K21" s="19" t="s">
        <v>130</v>
      </c>
      <c r="L21" s="20" t="s">
        <v>129</v>
      </c>
      <c r="M21" s="20"/>
      <c r="N21" s="20"/>
    </row>
    <row r="22" spans="1:21" ht="18.75" customHeight="1">
      <c r="A22" s="5" t="s">
        <v>51</v>
      </c>
      <c r="B22" s="16" t="s">
        <v>128</v>
      </c>
      <c r="C22" s="4">
        <v>800</v>
      </c>
      <c r="D22" s="4">
        <v>9</v>
      </c>
      <c r="E22" s="22">
        <f>2.2*2.8*4.6</f>
        <v>28.335999999999999</v>
      </c>
      <c r="F22" s="22">
        <v>0.63</v>
      </c>
      <c r="G22" s="4">
        <v>50</v>
      </c>
      <c r="H22" s="18" t="s">
        <v>129</v>
      </c>
      <c r="I22" s="18" t="s">
        <v>129</v>
      </c>
      <c r="J22" s="18" t="s">
        <v>129</v>
      </c>
      <c r="K22" s="18" t="s">
        <v>129</v>
      </c>
      <c r="L22" s="20" t="s">
        <v>129</v>
      </c>
      <c r="M22" s="20"/>
      <c r="N22" s="20"/>
    </row>
    <row r="23" spans="1:21" ht="18.75" customHeight="1">
      <c r="A23" s="5" t="s">
        <v>53</v>
      </c>
      <c r="B23" s="16" t="s">
        <v>128</v>
      </c>
      <c r="C23" s="4">
        <v>700</v>
      </c>
      <c r="D23" s="4">
        <v>9</v>
      </c>
      <c r="E23" s="17">
        <f>2.06*2.3*4.6</f>
        <v>21.794799999999995</v>
      </c>
      <c r="F23" s="17">
        <v>0.65</v>
      </c>
      <c r="G23" s="4">
        <v>50</v>
      </c>
      <c r="H23" s="19" t="s">
        <v>130</v>
      </c>
      <c r="I23" s="18" t="s">
        <v>129</v>
      </c>
      <c r="J23" s="19" t="s">
        <v>130</v>
      </c>
      <c r="K23" s="19" t="s">
        <v>130</v>
      </c>
      <c r="L23" s="20" t="s">
        <v>129</v>
      </c>
      <c r="M23" s="20"/>
      <c r="N23" s="20"/>
    </row>
    <row r="24" spans="1:21" ht="18.75" customHeight="1">
      <c r="A24" s="6" t="s">
        <v>55</v>
      </c>
      <c r="B24" s="21" t="s">
        <v>131</v>
      </c>
      <c r="C24" s="4">
        <v>13500</v>
      </c>
      <c r="D24" s="4">
        <v>23</v>
      </c>
      <c r="E24" s="22">
        <f>2.48*2.8*9.6</f>
        <v>66.662399999999991</v>
      </c>
      <c r="F24" s="22">
        <v>1.1499999999999999</v>
      </c>
      <c r="G24" s="4">
        <v>50</v>
      </c>
      <c r="H24" s="19" t="s">
        <v>130</v>
      </c>
      <c r="I24" s="18" t="s">
        <v>129</v>
      </c>
      <c r="J24" s="18" t="s">
        <v>129</v>
      </c>
      <c r="K24" s="18" t="s">
        <v>129</v>
      </c>
      <c r="L24" s="20" t="s">
        <v>130</v>
      </c>
      <c r="M24" s="20"/>
      <c r="N24" s="20"/>
    </row>
    <row r="25" spans="1:21" ht="18.75" customHeight="1">
      <c r="A25" s="7" t="s">
        <v>59</v>
      </c>
      <c r="B25" s="24" t="s">
        <v>128</v>
      </c>
      <c r="C25" s="4">
        <v>800</v>
      </c>
      <c r="D25" s="4">
        <v>6</v>
      </c>
      <c r="E25" s="17">
        <f>1.6*1.8*4.7</f>
        <v>13.536000000000001</v>
      </c>
      <c r="F25" s="17">
        <v>0.45</v>
      </c>
      <c r="G25" s="4">
        <v>50</v>
      </c>
      <c r="H25" s="18" t="s">
        <v>129</v>
      </c>
      <c r="I25" s="18" t="s">
        <v>129</v>
      </c>
      <c r="J25" s="19" t="s">
        <v>130</v>
      </c>
      <c r="K25" s="19" t="s">
        <v>130</v>
      </c>
      <c r="L25" s="20" t="s">
        <v>129</v>
      </c>
      <c r="M25" s="20"/>
      <c r="N25" s="20"/>
    </row>
    <row r="26" spans="1:21" ht="18.75" customHeight="1">
      <c r="A26" s="5" t="s">
        <v>61</v>
      </c>
      <c r="B26" s="16" t="s">
        <v>128</v>
      </c>
      <c r="C26" s="4">
        <v>700</v>
      </c>
      <c r="D26" s="4">
        <v>6</v>
      </c>
      <c r="E26" s="17">
        <f>2.06*2.1*3.2</f>
        <v>13.843200000000003</v>
      </c>
      <c r="F26" s="17">
        <v>0.6</v>
      </c>
      <c r="G26" s="4">
        <v>50</v>
      </c>
      <c r="H26" s="18" t="s">
        <v>129</v>
      </c>
      <c r="I26" s="19" t="s">
        <v>130</v>
      </c>
      <c r="J26" s="19" t="s">
        <v>130</v>
      </c>
      <c r="K26" s="18" t="s">
        <v>129</v>
      </c>
      <c r="L26" s="20" t="s">
        <v>129</v>
      </c>
      <c r="M26" s="20"/>
      <c r="N26" s="20"/>
    </row>
    <row r="27" spans="1:21" ht="18.75" customHeight="1">
      <c r="A27" s="5" t="s">
        <v>63</v>
      </c>
      <c r="B27" s="16" t="s">
        <v>128</v>
      </c>
      <c r="C27" s="4">
        <v>700</v>
      </c>
      <c r="D27" s="4">
        <v>10</v>
      </c>
      <c r="E27" s="22">
        <f>2.2*2.8*4.97</f>
        <v>30.615199999999998</v>
      </c>
      <c r="F27" s="22">
        <v>0.63</v>
      </c>
      <c r="G27" s="4">
        <v>50</v>
      </c>
      <c r="H27" s="18" t="s">
        <v>129</v>
      </c>
      <c r="I27" s="18" t="s">
        <v>129</v>
      </c>
      <c r="J27" s="18" t="s">
        <v>129</v>
      </c>
      <c r="K27" s="18" t="s">
        <v>129</v>
      </c>
      <c r="L27" s="20" t="s">
        <v>129</v>
      </c>
      <c r="M27" s="20"/>
      <c r="N27" s="20"/>
    </row>
    <row r="28" spans="1:21" ht="18.75" customHeight="1">
      <c r="A28" s="9" t="s">
        <v>69</v>
      </c>
      <c r="B28" s="25" t="s">
        <v>131</v>
      </c>
      <c r="C28" s="4">
        <v>44000</v>
      </c>
      <c r="D28" s="4">
        <v>38</v>
      </c>
      <c r="E28" s="17">
        <f>2.8*2.48*(7.7+7.7)</f>
        <v>106.9376</v>
      </c>
      <c r="F28" s="17">
        <v>1.35</v>
      </c>
      <c r="G28" s="4">
        <v>50</v>
      </c>
      <c r="H28" s="20" t="s">
        <v>129</v>
      </c>
      <c r="I28" s="18" t="s">
        <v>129</v>
      </c>
      <c r="J28" s="18" t="s">
        <v>129</v>
      </c>
      <c r="K28" s="18" t="s">
        <v>129</v>
      </c>
      <c r="L28" s="20" t="s">
        <v>130</v>
      </c>
      <c r="M28" s="20"/>
      <c r="N28" s="20"/>
    </row>
    <row r="29" spans="1:21" ht="18.75" customHeight="1">
      <c r="A29" s="7" t="s">
        <v>71</v>
      </c>
      <c r="B29" s="24" t="s">
        <v>128</v>
      </c>
      <c r="C29" s="4">
        <v>1000</v>
      </c>
      <c r="D29" s="4">
        <v>4</v>
      </c>
      <c r="E29" s="17">
        <f>1.6*1.8*3.2</f>
        <v>9.2160000000000011</v>
      </c>
      <c r="F29" s="17">
        <v>0.45</v>
      </c>
      <c r="G29" s="4">
        <v>50</v>
      </c>
      <c r="H29" s="18" t="s">
        <v>129</v>
      </c>
      <c r="I29" s="18" t="s">
        <v>129</v>
      </c>
      <c r="J29" s="19" t="s">
        <v>130</v>
      </c>
      <c r="K29" s="18" t="s">
        <v>129</v>
      </c>
      <c r="L29" s="20" t="s">
        <v>129</v>
      </c>
      <c r="M29" s="20"/>
      <c r="N29" s="20"/>
    </row>
    <row r="30" spans="1:21" ht="18.75" customHeight="1">
      <c r="A30" s="5" t="s">
        <v>73</v>
      </c>
      <c r="B30" s="16" t="s">
        <v>128</v>
      </c>
      <c r="C30" s="4">
        <v>700</v>
      </c>
      <c r="D30" s="4">
        <v>10</v>
      </c>
      <c r="E30" s="17">
        <f>2.06*2.4*4.98</f>
        <v>24.621120000000001</v>
      </c>
      <c r="F30" s="17">
        <v>0.6</v>
      </c>
      <c r="G30" s="4">
        <v>50</v>
      </c>
      <c r="H30" s="18" t="s">
        <v>129</v>
      </c>
      <c r="I30" s="18" t="s">
        <v>129</v>
      </c>
      <c r="J30" s="19" t="s">
        <v>130</v>
      </c>
      <c r="K30" s="19" t="s">
        <v>130</v>
      </c>
      <c r="L30" s="20" t="s">
        <v>129</v>
      </c>
      <c r="M30" s="20"/>
      <c r="N30" s="20"/>
    </row>
    <row r="31" spans="1:21" ht="18.75" customHeight="1">
      <c r="A31" s="6" t="s">
        <v>75</v>
      </c>
      <c r="B31" s="21" t="s">
        <v>131</v>
      </c>
      <c r="C31" s="4">
        <v>8000</v>
      </c>
      <c r="D31" s="4">
        <v>20</v>
      </c>
      <c r="E31" s="22">
        <f>2.48*2.8*8.2</f>
        <v>56.940799999999996</v>
      </c>
      <c r="F31" s="23">
        <v>1</v>
      </c>
      <c r="G31" s="4">
        <v>50</v>
      </c>
      <c r="H31" s="19" t="s">
        <v>130</v>
      </c>
      <c r="I31" s="18" t="s">
        <v>129</v>
      </c>
      <c r="J31" s="18" t="s">
        <v>129</v>
      </c>
      <c r="K31" s="18" t="s">
        <v>129</v>
      </c>
      <c r="L31" s="20" t="s">
        <v>130</v>
      </c>
      <c r="M31" s="20"/>
      <c r="N31" s="20"/>
    </row>
    <row r="32" spans="1:21" ht="18.75" customHeight="1">
      <c r="A32" s="5" t="s">
        <v>77</v>
      </c>
      <c r="B32" s="16" t="s">
        <v>128</v>
      </c>
      <c r="C32" s="4">
        <v>700</v>
      </c>
      <c r="D32" s="4">
        <v>10</v>
      </c>
      <c r="E32" s="17">
        <f>2.06*2.4*4.98</f>
        <v>24.621120000000001</v>
      </c>
      <c r="F32" s="17">
        <v>0.6</v>
      </c>
      <c r="G32" s="4">
        <v>50</v>
      </c>
      <c r="H32" s="18" t="s">
        <v>129</v>
      </c>
      <c r="I32" s="18" t="s">
        <v>129</v>
      </c>
      <c r="J32" s="19" t="s">
        <v>130</v>
      </c>
      <c r="K32" s="19" t="s">
        <v>130</v>
      </c>
      <c r="L32" s="20" t="s">
        <v>129</v>
      </c>
      <c r="M32" s="20"/>
      <c r="N32" s="20"/>
    </row>
    <row r="33" spans="1:14" ht="18.75" customHeight="1">
      <c r="A33" s="5" t="s">
        <v>79</v>
      </c>
      <c r="B33" s="16" t="s">
        <v>128</v>
      </c>
      <c r="C33" s="4">
        <v>700</v>
      </c>
      <c r="D33" s="4">
        <v>10</v>
      </c>
      <c r="E33" s="22">
        <f>2.2*2.8*4.97</f>
        <v>30.615199999999998</v>
      </c>
      <c r="F33" s="22">
        <v>0.63</v>
      </c>
      <c r="G33" s="4">
        <v>50</v>
      </c>
      <c r="H33" s="18" t="s">
        <v>129</v>
      </c>
      <c r="I33" s="18" t="s">
        <v>129</v>
      </c>
      <c r="J33" s="18" t="s">
        <v>129</v>
      </c>
      <c r="K33" s="18" t="s">
        <v>129</v>
      </c>
      <c r="L33" s="20" t="s">
        <v>129</v>
      </c>
      <c r="M33" s="20"/>
      <c r="N33" s="20"/>
    </row>
    <row r="34" spans="1:14" ht="18.75" customHeight="1">
      <c r="A34" s="5" t="s">
        <v>81</v>
      </c>
      <c r="B34" s="16" t="s">
        <v>128</v>
      </c>
      <c r="C34" s="4">
        <v>700</v>
      </c>
      <c r="D34" s="4">
        <v>10</v>
      </c>
      <c r="E34" s="22">
        <f>2.2*2.8*4.97</f>
        <v>30.615199999999998</v>
      </c>
      <c r="F34" s="22">
        <v>0.63</v>
      </c>
      <c r="G34" s="4">
        <v>50</v>
      </c>
      <c r="H34" s="18" t="s">
        <v>129</v>
      </c>
      <c r="I34" s="18" t="s">
        <v>129</v>
      </c>
      <c r="J34" s="18" t="s">
        <v>129</v>
      </c>
      <c r="K34" s="18" t="s">
        <v>129</v>
      </c>
      <c r="L34" s="20" t="s">
        <v>129</v>
      </c>
      <c r="M34" s="20"/>
      <c r="N34" s="20"/>
    </row>
    <row r="35" spans="1:14" ht="18.75" customHeight="1">
      <c r="A35" s="5" t="s">
        <v>83</v>
      </c>
      <c r="B35" s="16" t="s">
        <v>128</v>
      </c>
      <c r="C35" s="4">
        <v>700</v>
      </c>
      <c r="D35" s="4">
        <v>10</v>
      </c>
      <c r="E35" s="22">
        <f>2.2*2.8*4.97</f>
        <v>30.615199999999998</v>
      </c>
      <c r="F35" s="22">
        <v>0.68</v>
      </c>
      <c r="G35" s="4">
        <v>50</v>
      </c>
      <c r="H35" s="19" t="s">
        <v>130</v>
      </c>
      <c r="I35" s="18" t="s">
        <v>129</v>
      </c>
      <c r="J35" s="18" t="s">
        <v>129</v>
      </c>
      <c r="K35" s="18" t="s">
        <v>129</v>
      </c>
      <c r="L35" s="20" t="s">
        <v>129</v>
      </c>
      <c r="M35" s="20"/>
      <c r="N35" s="20"/>
    </row>
    <row r="36" spans="1:14" ht="18.75" customHeight="1">
      <c r="A36" s="5" t="s">
        <v>85</v>
      </c>
      <c r="B36" s="16" t="s">
        <v>128</v>
      </c>
      <c r="C36" s="4">
        <v>800</v>
      </c>
      <c r="D36" s="4">
        <v>9</v>
      </c>
      <c r="E36" s="17">
        <f>2.04*2.3*4.6</f>
        <v>21.583199999999994</v>
      </c>
      <c r="F36" s="17">
        <v>0.6</v>
      </c>
      <c r="G36" s="4">
        <v>50</v>
      </c>
      <c r="H36" s="18" t="s">
        <v>129</v>
      </c>
      <c r="I36" s="18" t="s">
        <v>129</v>
      </c>
      <c r="J36" s="19" t="s">
        <v>130</v>
      </c>
      <c r="K36" s="19" t="s">
        <v>130</v>
      </c>
      <c r="L36" s="20" t="s">
        <v>129</v>
      </c>
      <c r="M36" s="20"/>
      <c r="N36" s="20"/>
    </row>
    <row r="37" spans="1:14" ht="18.75" customHeight="1">
      <c r="A37" s="5" t="s">
        <v>87</v>
      </c>
      <c r="B37" s="16" t="s">
        <v>128</v>
      </c>
      <c r="C37" s="4">
        <v>700</v>
      </c>
      <c r="D37" s="4">
        <v>8</v>
      </c>
      <c r="E37" s="17">
        <f>2.06*2.1*4.2</f>
        <v>18.169200000000004</v>
      </c>
      <c r="F37" s="17">
        <v>0.65</v>
      </c>
      <c r="G37" s="4">
        <v>50</v>
      </c>
      <c r="H37" s="19" t="s">
        <v>130</v>
      </c>
      <c r="I37" s="19" t="s">
        <v>130</v>
      </c>
      <c r="J37" s="19" t="s">
        <v>130</v>
      </c>
      <c r="K37" s="18" t="s">
        <v>129</v>
      </c>
      <c r="L37" s="20" t="s">
        <v>129</v>
      </c>
      <c r="M37" s="20"/>
      <c r="N37" s="20"/>
    </row>
    <row r="38" spans="1:14" ht="18.75" customHeight="1">
      <c r="A38" s="5" t="s">
        <v>89</v>
      </c>
      <c r="B38" s="16" t="s">
        <v>128</v>
      </c>
      <c r="C38" s="4">
        <v>700</v>
      </c>
      <c r="D38" s="4">
        <v>10</v>
      </c>
      <c r="E38" s="22">
        <f>2.2*2.8*4.97</f>
        <v>30.615199999999998</v>
      </c>
      <c r="F38" s="22">
        <v>0.68</v>
      </c>
      <c r="G38" s="4">
        <v>50</v>
      </c>
      <c r="H38" s="19" t="s">
        <v>130</v>
      </c>
      <c r="I38" s="18" t="s">
        <v>129</v>
      </c>
      <c r="J38" s="18" t="s">
        <v>129</v>
      </c>
      <c r="K38" s="18" t="s">
        <v>129</v>
      </c>
      <c r="L38" s="20" t="s">
        <v>129</v>
      </c>
      <c r="M38" s="20"/>
      <c r="N38" s="20"/>
    </row>
    <row r="39" spans="1:14" ht="18.75" customHeight="1">
      <c r="A39" s="5" t="s">
        <v>93</v>
      </c>
      <c r="B39" s="16" t="s">
        <v>128</v>
      </c>
      <c r="C39" s="4">
        <v>700</v>
      </c>
      <c r="D39" s="4">
        <v>10</v>
      </c>
      <c r="E39" s="22">
        <f>2.2*2.8*4.97</f>
        <v>30.615199999999998</v>
      </c>
      <c r="F39" s="22">
        <v>0.68</v>
      </c>
      <c r="G39" s="4">
        <v>50</v>
      </c>
      <c r="H39" s="19" t="s">
        <v>130</v>
      </c>
      <c r="I39" s="18" t="s">
        <v>129</v>
      </c>
      <c r="J39" s="18" t="s">
        <v>129</v>
      </c>
      <c r="K39" s="18" t="s">
        <v>129</v>
      </c>
      <c r="L39" s="20" t="s">
        <v>129</v>
      </c>
      <c r="M39" s="20"/>
      <c r="N39" s="20"/>
    </row>
    <row r="40" spans="1:14" ht="18.75" customHeight="1">
      <c r="A40" s="5" t="s">
        <v>95</v>
      </c>
      <c r="B40" s="16" t="s">
        <v>128</v>
      </c>
      <c r="C40" s="4">
        <v>700</v>
      </c>
      <c r="D40" s="4">
        <v>10</v>
      </c>
      <c r="E40" s="17">
        <f>2.06*2.4*4.98</f>
        <v>24.621120000000001</v>
      </c>
      <c r="F40" s="17">
        <v>0.6</v>
      </c>
      <c r="G40" s="4">
        <v>50</v>
      </c>
      <c r="H40" s="18" t="s">
        <v>129</v>
      </c>
      <c r="I40" s="18" t="s">
        <v>129</v>
      </c>
      <c r="J40" s="19" t="s">
        <v>130</v>
      </c>
      <c r="K40" s="19" t="s">
        <v>130</v>
      </c>
      <c r="L40" s="20" t="s">
        <v>129</v>
      </c>
      <c r="M40" s="20"/>
      <c r="N40" s="20"/>
    </row>
    <row r="41" spans="1:14" ht="18.75" customHeight="1">
      <c r="A41" s="5" t="s">
        <v>97</v>
      </c>
      <c r="B41" s="16" t="s">
        <v>128</v>
      </c>
      <c r="C41" s="4">
        <v>700</v>
      </c>
      <c r="D41" s="4">
        <v>8</v>
      </c>
      <c r="E41" s="17">
        <f>2.06*2.1*4.2</f>
        <v>18.169200000000004</v>
      </c>
      <c r="F41" s="17">
        <v>0.6</v>
      </c>
      <c r="G41" s="4">
        <v>50</v>
      </c>
      <c r="H41" s="18" t="s">
        <v>129</v>
      </c>
      <c r="I41" s="19" t="s">
        <v>130</v>
      </c>
      <c r="J41" s="19" t="s">
        <v>130</v>
      </c>
      <c r="K41" s="18" t="s">
        <v>129</v>
      </c>
      <c r="L41" s="20" t="s">
        <v>129</v>
      </c>
      <c r="M41" s="20"/>
      <c r="N41" s="20"/>
    </row>
    <row r="42" spans="1:14" ht="18.75" customHeight="1">
      <c r="A42" s="5" t="s">
        <v>99</v>
      </c>
      <c r="B42" s="16" t="s">
        <v>128</v>
      </c>
      <c r="C42" s="4">
        <v>700</v>
      </c>
      <c r="D42" s="4">
        <v>10</v>
      </c>
      <c r="E42" s="17">
        <f>2.06*2.4*4.98</f>
        <v>24.621120000000001</v>
      </c>
      <c r="F42" s="17">
        <v>0.6</v>
      </c>
      <c r="G42" s="4">
        <v>50</v>
      </c>
      <c r="H42" s="18" t="s">
        <v>129</v>
      </c>
      <c r="I42" s="18" t="s">
        <v>129</v>
      </c>
      <c r="J42" s="19" t="s">
        <v>130</v>
      </c>
      <c r="K42" s="19" t="s">
        <v>130</v>
      </c>
      <c r="L42" s="20" t="s">
        <v>129</v>
      </c>
      <c r="M42" s="20"/>
      <c r="N42" s="20"/>
    </row>
    <row r="43" spans="1:14" ht="18.75" customHeight="1">
      <c r="A43" s="5" t="s">
        <v>101</v>
      </c>
      <c r="B43" s="16" t="s">
        <v>128</v>
      </c>
      <c r="C43" s="4">
        <v>700</v>
      </c>
      <c r="D43" s="4">
        <v>8</v>
      </c>
      <c r="E43" s="17">
        <f>2.06*2.1*4.2</f>
        <v>18.169200000000004</v>
      </c>
      <c r="F43" s="17">
        <v>0.6</v>
      </c>
      <c r="G43" s="4">
        <v>50</v>
      </c>
      <c r="H43" s="18" t="s">
        <v>129</v>
      </c>
      <c r="I43" s="19" t="s">
        <v>130</v>
      </c>
      <c r="J43" s="19" t="s">
        <v>130</v>
      </c>
      <c r="K43" s="18" t="s">
        <v>129</v>
      </c>
      <c r="L43" s="20" t="s">
        <v>129</v>
      </c>
      <c r="M43" s="20"/>
      <c r="N43" s="20"/>
    </row>
    <row r="44" spans="1:14" ht="18.75" customHeight="1">
      <c r="A44" s="5" t="s">
        <v>103</v>
      </c>
      <c r="B44" s="16" t="s">
        <v>128</v>
      </c>
      <c r="C44" s="4">
        <v>700</v>
      </c>
      <c r="D44" s="4">
        <v>10</v>
      </c>
      <c r="E44" s="26">
        <f>2.2*2.8*4.97</f>
        <v>30.615199999999998</v>
      </c>
      <c r="F44" s="26">
        <v>0.63</v>
      </c>
      <c r="G44" s="4">
        <v>50</v>
      </c>
      <c r="H44" s="18" t="s">
        <v>129</v>
      </c>
      <c r="I44" s="18" t="s">
        <v>129</v>
      </c>
      <c r="J44" s="18" t="s">
        <v>129</v>
      </c>
      <c r="K44" s="18" t="s">
        <v>129</v>
      </c>
      <c r="L44" s="20" t="s">
        <v>129</v>
      </c>
      <c r="M44" s="20"/>
      <c r="N44" s="20"/>
    </row>
    <row r="45" spans="1:14" ht="18.75" customHeight="1">
      <c r="A45" s="7" t="s">
        <v>105</v>
      </c>
      <c r="B45" s="24" t="s">
        <v>128</v>
      </c>
      <c r="C45" s="4">
        <v>800</v>
      </c>
      <c r="D45" s="4">
        <v>4</v>
      </c>
      <c r="E45" s="17">
        <f>1.55*1.65*3.2</f>
        <v>8.1840000000000011</v>
      </c>
      <c r="F45" s="17">
        <v>0.45</v>
      </c>
      <c r="G45" s="4">
        <v>50</v>
      </c>
      <c r="H45" s="18" t="s">
        <v>129</v>
      </c>
      <c r="I45" s="19" t="s">
        <v>130</v>
      </c>
      <c r="J45" s="19" t="s">
        <v>130</v>
      </c>
      <c r="K45" s="18" t="s">
        <v>129</v>
      </c>
      <c r="L45" s="20" t="s">
        <v>129</v>
      </c>
      <c r="M45" s="20"/>
      <c r="N45" s="20"/>
    </row>
    <row r="46" spans="1:14" ht="18.75" customHeight="1">
      <c r="A46" s="5" t="s">
        <v>107</v>
      </c>
      <c r="B46" s="16" t="s">
        <v>128</v>
      </c>
      <c r="C46" s="4">
        <v>700</v>
      </c>
      <c r="D46" s="4">
        <v>10</v>
      </c>
      <c r="E46" s="17">
        <f>2.06*2.4*4.98</f>
        <v>24.621120000000001</v>
      </c>
      <c r="F46" s="17">
        <v>0.6</v>
      </c>
      <c r="G46" s="4">
        <v>50</v>
      </c>
      <c r="H46" s="18" t="s">
        <v>129</v>
      </c>
      <c r="I46" s="18" t="s">
        <v>129</v>
      </c>
      <c r="J46" s="19" t="s">
        <v>130</v>
      </c>
      <c r="K46" s="19" t="s">
        <v>130</v>
      </c>
      <c r="L46" s="20" t="s">
        <v>129</v>
      </c>
      <c r="M46" s="20"/>
      <c r="N46" s="20"/>
    </row>
    <row r="47" spans="1:14" ht="18.75" customHeight="1">
      <c r="A47" s="5" t="s">
        <v>109</v>
      </c>
      <c r="B47" s="16" t="s">
        <v>128</v>
      </c>
      <c r="C47" s="4">
        <v>700</v>
      </c>
      <c r="D47" s="4">
        <v>10</v>
      </c>
      <c r="E47" s="22">
        <f>2.2*2.8*4.97</f>
        <v>30.615199999999998</v>
      </c>
      <c r="F47" s="22">
        <v>0.68</v>
      </c>
      <c r="G47" s="4">
        <v>50</v>
      </c>
      <c r="H47" s="19" t="s">
        <v>130</v>
      </c>
      <c r="I47" s="18" t="s">
        <v>129</v>
      </c>
      <c r="J47" s="18" t="s">
        <v>129</v>
      </c>
      <c r="K47" s="18" t="s">
        <v>129</v>
      </c>
      <c r="L47" s="20" t="s">
        <v>129</v>
      </c>
      <c r="M47" s="20"/>
      <c r="N47" s="20"/>
    </row>
    <row r="48" spans="1:14" ht="18.75" customHeight="1">
      <c r="A48" s="5" t="s">
        <v>111</v>
      </c>
      <c r="B48" s="16" t="s">
        <v>128</v>
      </c>
      <c r="C48" s="4">
        <v>700</v>
      </c>
      <c r="D48" s="4">
        <v>10</v>
      </c>
      <c r="E48" s="22">
        <f>2.2*2.8*4.97</f>
        <v>30.615199999999998</v>
      </c>
      <c r="F48" s="22">
        <v>0.65</v>
      </c>
      <c r="G48" s="4">
        <v>50</v>
      </c>
      <c r="H48" s="18" t="s">
        <v>129</v>
      </c>
      <c r="I48" s="18" t="s">
        <v>129</v>
      </c>
      <c r="J48" s="18" t="s">
        <v>129</v>
      </c>
      <c r="K48" s="18" t="s">
        <v>129</v>
      </c>
      <c r="L48" s="20" t="s">
        <v>129</v>
      </c>
      <c r="M48" s="20"/>
      <c r="N48" s="20"/>
    </row>
    <row r="49" spans="1:14" ht="18.75" customHeight="1">
      <c r="A49" s="5" t="s">
        <v>113</v>
      </c>
      <c r="B49" s="16" t="s">
        <v>128</v>
      </c>
      <c r="C49" s="4">
        <v>800</v>
      </c>
      <c r="D49" s="4">
        <v>9</v>
      </c>
      <c r="E49" s="22">
        <f>2.2*2.8*4.6</f>
        <v>28.335999999999999</v>
      </c>
      <c r="F49" s="22">
        <v>0.65</v>
      </c>
      <c r="G49" s="4">
        <v>50</v>
      </c>
      <c r="H49" s="18" t="s">
        <v>129</v>
      </c>
      <c r="I49" s="18" t="s">
        <v>129</v>
      </c>
      <c r="J49" s="18" t="s">
        <v>129</v>
      </c>
      <c r="K49" s="18" t="s">
        <v>129</v>
      </c>
      <c r="L49" s="20" t="s">
        <v>129</v>
      </c>
      <c r="M49" s="20"/>
      <c r="N49" s="20"/>
    </row>
    <row r="50" spans="1:14" ht="18.75" customHeight="1">
      <c r="A50" s="5" t="s">
        <v>115</v>
      </c>
      <c r="B50" s="16" t="s">
        <v>128</v>
      </c>
      <c r="C50" s="4">
        <v>600</v>
      </c>
      <c r="D50" s="4">
        <v>9</v>
      </c>
      <c r="E50" s="17">
        <f>2.06*2.1*4.6</f>
        <v>19.8996</v>
      </c>
      <c r="F50" s="17">
        <v>0.6</v>
      </c>
      <c r="G50" s="4">
        <v>50</v>
      </c>
      <c r="H50" s="18" t="s">
        <v>129</v>
      </c>
      <c r="I50" s="19" t="s">
        <v>130</v>
      </c>
      <c r="J50" s="19" t="s">
        <v>130</v>
      </c>
      <c r="K50" s="18" t="s">
        <v>129</v>
      </c>
      <c r="L50" s="20" t="s">
        <v>129</v>
      </c>
      <c r="M50" s="20"/>
      <c r="N50" s="20"/>
    </row>
    <row r="51" spans="1:14" ht="18.75" customHeight="1">
      <c r="A51" s="3" t="s">
        <v>4</v>
      </c>
      <c r="B51" s="27" t="s">
        <v>131</v>
      </c>
      <c r="C51" s="4">
        <v>32700</v>
      </c>
      <c r="D51" s="4">
        <v>33</v>
      </c>
      <c r="E51" s="17">
        <f>2.48*2.7*13.6</f>
        <v>91.065600000000003</v>
      </c>
      <c r="F51" s="17">
        <v>1.25</v>
      </c>
      <c r="G51" s="4">
        <v>50</v>
      </c>
      <c r="H51" s="18" t="s">
        <v>129</v>
      </c>
      <c r="I51" s="18" t="s">
        <v>129</v>
      </c>
      <c r="J51" s="18" t="s">
        <v>129</v>
      </c>
      <c r="K51" s="18" t="s">
        <v>129</v>
      </c>
      <c r="L51" s="20" t="s">
        <v>130</v>
      </c>
      <c r="M51" s="20"/>
      <c r="N51" s="20"/>
    </row>
    <row r="52" spans="1:14" ht="18.75" customHeight="1">
      <c r="A52" s="3" t="s">
        <v>20</v>
      </c>
      <c r="B52" s="27" t="s">
        <v>131</v>
      </c>
      <c r="C52" s="4">
        <v>32000</v>
      </c>
      <c r="D52" s="4">
        <v>33</v>
      </c>
      <c r="E52" s="17">
        <f>2.48*2.7*13.6</f>
        <v>91.065600000000003</v>
      </c>
      <c r="F52" s="17">
        <v>1.25</v>
      </c>
      <c r="G52" s="4">
        <v>50</v>
      </c>
      <c r="H52" s="19" t="s">
        <v>130</v>
      </c>
      <c r="I52" s="18" t="s">
        <v>129</v>
      </c>
      <c r="J52" s="18" t="s">
        <v>129</v>
      </c>
      <c r="K52" s="18" t="s">
        <v>129</v>
      </c>
      <c r="L52" s="20" t="s">
        <v>130</v>
      </c>
      <c r="M52" s="20"/>
      <c r="N52" s="20"/>
    </row>
    <row r="53" spans="1:14" ht="18.75" customHeight="1">
      <c r="A53" s="3" t="s">
        <v>57</v>
      </c>
      <c r="B53" s="27" t="s">
        <v>131</v>
      </c>
      <c r="C53" s="4">
        <v>32700</v>
      </c>
      <c r="D53" s="4">
        <v>33</v>
      </c>
      <c r="E53" s="17">
        <f>2.48*2.6*13.6</f>
        <v>87.692800000000005</v>
      </c>
      <c r="F53" s="17">
        <v>1.25</v>
      </c>
      <c r="G53" s="4">
        <v>50</v>
      </c>
      <c r="H53" s="19" t="s">
        <v>130</v>
      </c>
      <c r="I53" s="19" t="s">
        <v>130</v>
      </c>
      <c r="J53" s="19" t="s">
        <v>130</v>
      </c>
      <c r="K53" s="18" t="s">
        <v>129</v>
      </c>
      <c r="L53" s="20" t="s">
        <v>130</v>
      </c>
      <c r="M53" s="20"/>
      <c r="N53" s="20"/>
    </row>
    <row r="54" spans="1:14" ht="18.75" customHeight="1">
      <c r="A54" s="3" t="s">
        <v>65</v>
      </c>
      <c r="B54" s="27" t="s">
        <v>131</v>
      </c>
      <c r="C54" s="4">
        <v>32700</v>
      </c>
      <c r="D54" s="4">
        <v>33</v>
      </c>
      <c r="E54" s="17">
        <f>2.48*2.7*13.6</f>
        <v>91.065600000000003</v>
      </c>
      <c r="F54" s="17">
        <v>1.25</v>
      </c>
      <c r="G54" s="4">
        <v>50</v>
      </c>
      <c r="H54" s="18" t="s">
        <v>129</v>
      </c>
      <c r="I54" s="18" t="s">
        <v>129</v>
      </c>
      <c r="J54" s="18" t="s">
        <v>129</v>
      </c>
      <c r="K54" s="18" t="s">
        <v>129</v>
      </c>
      <c r="L54" s="20" t="s">
        <v>130</v>
      </c>
      <c r="M54" s="20"/>
      <c r="N54" s="20"/>
    </row>
    <row r="55" spans="1:14" ht="18.75" customHeight="1">
      <c r="A55" s="3" t="s">
        <v>67</v>
      </c>
      <c r="B55" s="27" t="s">
        <v>131</v>
      </c>
      <c r="C55" s="4">
        <v>24300</v>
      </c>
      <c r="D55" s="4">
        <v>27</v>
      </c>
      <c r="E55" s="17">
        <f>2.48*2.7*11</f>
        <v>73.656000000000006</v>
      </c>
      <c r="F55" s="17">
        <v>1.25</v>
      </c>
      <c r="G55" s="4">
        <v>50</v>
      </c>
      <c r="H55" s="19" t="s">
        <v>130</v>
      </c>
      <c r="I55" s="18" t="s">
        <v>129</v>
      </c>
      <c r="J55" s="18" t="s">
        <v>129</v>
      </c>
      <c r="K55" s="18" t="s">
        <v>129</v>
      </c>
      <c r="L55" s="20" t="s">
        <v>130</v>
      </c>
      <c r="M55" s="20"/>
      <c r="N55" s="20"/>
    </row>
    <row r="56" spans="1:14" ht="18.75" customHeight="1">
      <c r="A56" s="3" t="s">
        <v>91</v>
      </c>
      <c r="B56" s="27" t="s">
        <v>131</v>
      </c>
      <c r="C56" s="4">
        <v>32700</v>
      </c>
      <c r="D56" s="4">
        <v>33</v>
      </c>
      <c r="E56" s="17">
        <f>2.48*2.7*13.6</f>
        <v>91.065600000000003</v>
      </c>
      <c r="F56" s="17">
        <v>1.25</v>
      </c>
      <c r="G56" s="4">
        <v>50</v>
      </c>
      <c r="H56" s="18" t="s">
        <v>129</v>
      </c>
      <c r="I56" s="18" t="s">
        <v>129</v>
      </c>
      <c r="J56" s="18" t="s">
        <v>129</v>
      </c>
      <c r="K56" s="18" t="s">
        <v>129</v>
      </c>
      <c r="L56" s="20" t="s">
        <v>130</v>
      </c>
      <c r="M56" s="20"/>
      <c r="N5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6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4.453125" bestFit="1" customWidth="1"/>
    <col min="2" max="2" width="18.453125" bestFit="1" customWidth="1"/>
    <col min="3" max="3" width="12.1796875" bestFit="1" customWidth="1"/>
    <col min="4" max="4" width="21" style="10" bestFit="1" customWidth="1"/>
  </cols>
  <sheetData>
    <row r="1" spans="1:4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8.75" customHeight="1">
      <c r="A2" s="3" t="s">
        <v>4</v>
      </c>
      <c r="B2" t="s">
        <v>5</v>
      </c>
      <c r="C2" t="s">
        <v>6</v>
      </c>
      <c r="D2" s="4">
        <v>10</v>
      </c>
    </row>
    <row r="3" spans="1:4" ht="18.75" customHeight="1">
      <c r="A3" s="5" t="s">
        <v>7</v>
      </c>
      <c r="B3" t="s">
        <v>8</v>
      </c>
      <c r="C3" t="s">
        <v>9</v>
      </c>
      <c r="D3" s="4">
        <v>10</v>
      </c>
    </row>
    <row r="4" spans="1:4" ht="18.75" customHeight="1">
      <c r="A4" s="6" t="s">
        <v>10</v>
      </c>
      <c r="B4" t="s">
        <v>11</v>
      </c>
      <c r="C4" t="s">
        <v>6</v>
      </c>
      <c r="D4" s="4">
        <v>10</v>
      </c>
    </row>
    <row r="5" spans="1:4" ht="18.75" customHeight="1">
      <c r="A5" s="5" t="s">
        <v>12</v>
      </c>
      <c r="B5" t="s">
        <v>13</v>
      </c>
      <c r="C5" t="s">
        <v>9</v>
      </c>
      <c r="D5" s="4">
        <v>10</v>
      </c>
    </row>
    <row r="6" spans="1:4" ht="18.75" customHeight="1">
      <c r="A6" s="6" t="s">
        <v>14</v>
      </c>
      <c r="B6" t="s">
        <v>15</v>
      </c>
      <c r="C6" t="s">
        <v>6</v>
      </c>
      <c r="D6" s="4">
        <v>10</v>
      </c>
    </row>
    <row r="7" spans="1:4" ht="18.75" customHeight="1">
      <c r="A7" s="7" t="s">
        <v>16</v>
      </c>
      <c r="B7" t="s">
        <v>17</v>
      </c>
      <c r="C7" t="s">
        <v>9</v>
      </c>
      <c r="D7" s="4">
        <v>10</v>
      </c>
    </row>
    <row r="8" spans="1:4" ht="18.75" customHeight="1">
      <c r="A8" s="5" t="s">
        <v>18</v>
      </c>
      <c r="B8" t="s">
        <v>19</v>
      </c>
      <c r="C8" t="s">
        <v>9</v>
      </c>
      <c r="D8" s="4">
        <v>10</v>
      </c>
    </row>
    <row r="9" spans="1:4" ht="18.75" customHeight="1">
      <c r="A9" s="3" t="s">
        <v>20</v>
      </c>
      <c r="B9" t="s">
        <v>21</v>
      </c>
      <c r="C9" t="s">
        <v>6</v>
      </c>
      <c r="D9" s="4">
        <v>10</v>
      </c>
    </row>
    <row r="10" spans="1:4" ht="18.75" customHeight="1">
      <c r="A10" s="5" t="s">
        <v>22</v>
      </c>
      <c r="B10" t="s">
        <v>23</v>
      </c>
      <c r="C10" t="s">
        <v>9</v>
      </c>
      <c r="D10" s="4">
        <v>10</v>
      </c>
    </row>
    <row r="11" spans="1:4" ht="18.75" customHeight="1">
      <c r="A11" s="7" t="s">
        <v>24</v>
      </c>
      <c r="B11" t="s">
        <v>25</v>
      </c>
      <c r="C11" t="s">
        <v>9</v>
      </c>
      <c r="D11" s="4">
        <v>10</v>
      </c>
    </row>
    <row r="12" spans="1:4" ht="18.75" customHeight="1">
      <c r="A12" s="7" t="s">
        <v>26</v>
      </c>
      <c r="B12" t="s">
        <v>27</v>
      </c>
      <c r="C12" t="s">
        <v>9</v>
      </c>
      <c r="D12" s="4">
        <v>10</v>
      </c>
    </row>
    <row r="13" spans="1:4" ht="18.75" customHeight="1">
      <c r="A13" s="5" t="s">
        <v>28</v>
      </c>
      <c r="B13" t="s">
        <v>29</v>
      </c>
      <c r="C13" t="s">
        <v>9</v>
      </c>
      <c r="D13" s="4">
        <v>10</v>
      </c>
    </row>
    <row r="14" spans="1:4" ht="18.75" customHeight="1">
      <c r="A14" s="6" t="s">
        <v>30</v>
      </c>
      <c r="B14" t="s">
        <v>31</v>
      </c>
      <c r="C14" t="s">
        <v>6</v>
      </c>
      <c r="D14" s="4">
        <v>10</v>
      </c>
    </row>
    <row r="15" spans="1:4" ht="18.75" customHeight="1">
      <c r="A15" s="6" t="s">
        <v>32</v>
      </c>
      <c r="B15" t="s">
        <v>33</v>
      </c>
      <c r="C15" t="s">
        <v>6</v>
      </c>
      <c r="D15" s="4">
        <v>10</v>
      </c>
    </row>
    <row r="16" spans="1:4" ht="18.75" customHeight="1">
      <c r="A16" s="5" t="s">
        <v>34</v>
      </c>
      <c r="B16" t="s">
        <v>35</v>
      </c>
      <c r="C16" t="s">
        <v>36</v>
      </c>
      <c r="D16" s="4">
        <v>10</v>
      </c>
    </row>
    <row r="17" spans="1:4" ht="18.75" customHeight="1">
      <c r="A17" s="6" t="s">
        <v>37</v>
      </c>
      <c r="B17" t="s">
        <v>38</v>
      </c>
      <c r="C17" t="s">
        <v>36</v>
      </c>
      <c r="D17" s="4">
        <v>10</v>
      </c>
    </row>
    <row r="18" spans="1:4" ht="18.75" customHeight="1">
      <c r="A18" s="6" t="s">
        <v>39</v>
      </c>
      <c r="B18" t="s">
        <v>40</v>
      </c>
      <c r="C18" t="s">
        <v>6</v>
      </c>
      <c r="D18" s="4">
        <v>10</v>
      </c>
    </row>
    <row r="19" spans="1:4" ht="18.75" customHeight="1">
      <c r="A19" s="7" t="s">
        <v>41</v>
      </c>
      <c r="B19" t="s">
        <v>42</v>
      </c>
      <c r="C19" t="s">
        <v>9</v>
      </c>
      <c r="D19" s="4">
        <v>10</v>
      </c>
    </row>
    <row r="20" spans="1:4" ht="18.75" customHeight="1">
      <c r="A20" s="7" t="s">
        <v>43</v>
      </c>
      <c r="B20" t="s">
        <v>44</v>
      </c>
      <c r="C20" t="s">
        <v>9</v>
      </c>
      <c r="D20" s="4">
        <v>10</v>
      </c>
    </row>
    <row r="21" spans="1:4" ht="18.75" customHeight="1">
      <c r="A21" s="6" t="s">
        <v>45</v>
      </c>
      <c r="B21" t="s">
        <v>46</v>
      </c>
      <c r="C21" t="s">
        <v>36</v>
      </c>
      <c r="D21" s="4">
        <v>10</v>
      </c>
    </row>
    <row r="22" spans="1:4" ht="18.75" customHeight="1">
      <c r="A22" s="7" t="s">
        <v>47</v>
      </c>
      <c r="B22" t="s">
        <v>48</v>
      </c>
      <c r="C22" t="s">
        <v>9</v>
      </c>
      <c r="D22" s="4">
        <v>10</v>
      </c>
    </row>
    <row r="23" spans="1:4" ht="18.75" customHeight="1">
      <c r="A23" s="5" t="s">
        <v>49</v>
      </c>
      <c r="B23" s="8" t="s">
        <v>50</v>
      </c>
      <c r="C23" t="s">
        <v>9</v>
      </c>
      <c r="D23" s="4">
        <v>10</v>
      </c>
    </row>
    <row r="24" spans="1:4" ht="18.75" customHeight="1">
      <c r="A24" s="5" t="s">
        <v>51</v>
      </c>
      <c r="B24" t="s">
        <v>52</v>
      </c>
      <c r="C24" t="s">
        <v>9</v>
      </c>
      <c r="D24" s="4">
        <v>10</v>
      </c>
    </row>
    <row r="25" spans="1:4" ht="18.75" customHeight="1">
      <c r="A25" s="5" t="s">
        <v>53</v>
      </c>
      <c r="B25" s="8" t="s">
        <v>54</v>
      </c>
      <c r="C25" t="s">
        <v>9</v>
      </c>
      <c r="D25" s="4">
        <v>10</v>
      </c>
    </row>
    <row r="26" spans="1:4" ht="18.75" customHeight="1">
      <c r="A26" s="6" t="s">
        <v>55</v>
      </c>
      <c r="B26" t="s">
        <v>56</v>
      </c>
      <c r="C26" t="s">
        <v>6</v>
      </c>
      <c r="D26" s="4">
        <v>10</v>
      </c>
    </row>
    <row r="27" spans="1:4" ht="18.75" customHeight="1">
      <c r="A27" s="3" t="s">
        <v>57</v>
      </c>
      <c r="B27" t="s">
        <v>58</v>
      </c>
      <c r="C27" t="s">
        <v>6</v>
      </c>
      <c r="D27" s="4">
        <v>10</v>
      </c>
    </row>
    <row r="28" spans="1:4" ht="18.75" customHeight="1">
      <c r="A28" s="7" t="s">
        <v>59</v>
      </c>
      <c r="B28" t="s">
        <v>60</v>
      </c>
      <c r="C28" t="s">
        <v>9</v>
      </c>
      <c r="D28" s="4">
        <v>10</v>
      </c>
    </row>
    <row r="29" spans="1:4" ht="18.75" customHeight="1">
      <c r="A29" s="5" t="s">
        <v>61</v>
      </c>
      <c r="B29" t="s">
        <v>62</v>
      </c>
      <c r="C29" t="s">
        <v>9</v>
      </c>
      <c r="D29" s="4">
        <v>10</v>
      </c>
    </row>
    <row r="30" spans="1:4" ht="18.75" customHeight="1">
      <c r="A30" s="5" t="s">
        <v>63</v>
      </c>
      <c r="B30" t="s">
        <v>64</v>
      </c>
      <c r="C30" t="s">
        <v>9</v>
      </c>
      <c r="D30" s="4">
        <v>10</v>
      </c>
    </row>
    <row r="31" spans="1:4" ht="18.75" customHeight="1">
      <c r="A31" s="3" t="s">
        <v>65</v>
      </c>
      <c r="B31" t="s">
        <v>66</v>
      </c>
      <c r="C31" t="s">
        <v>6</v>
      </c>
      <c r="D31" s="4">
        <v>10</v>
      </c>
    </row>
    <row r="32" spans="1:4" ht="18.75" customHeight="1">
      <c r="A32" s="3" t="s">
        <v>67</v>
      </c>
      <c r="B32" t="s">
        <v>68</v>
      </c>
      <c r="C32" t="s">
        <v>6</v>
      </c>
      <c r="D32" s="4">
        <v>10</v>
      </c>
    </row>
    <row r="33" spans="1:4" ht="18.75" customHeight="1">
      <c r="A33" s="9" t="s">
        <v>69</v>
      </c>
      <c r="B33" t="s">
        <v>70</v>
      </c>
      <c r="C33" t="s">
        <v>6</v>
      </c>
      <c r="D33" s="4">
        <v>10</v>
      </c>
    </row>
    <row r="34" spans="1:4" ht="18.75" customHeight="1">
      <c r="A34" s="7" t="s">
        <v>71</v>
      </c>
      <c r="B34" t="s">
        <v>72</v>
      </c>
      <c r="C34" t="s">
        <v>9</v>
      </c>
      <c r="D34" s="4">
        <v>10</v>
      </c>
    </row>
    <row r="35" spans="1:4" ht="18.75" customHeight="1">
      <c r="A35" s="5" t="s">
        <v>73</v>
      </c>
      <c r="B35" t="s">
        <v>74</v>
      </c>
      <c r="C35" t="s">
        <v>9</v>
      </c>
      <c r="D35" s="4">
        <v>10</v>
      </c>
    </row>
    <row r="36" spans="1:4" ht="18.75" customHeight="1">
      <c r="A36" s="6" t="s">
        <v>75</v>
      </c>
      <c r="B36" t="s">
        <v>76</v>
      </c>
      <c r="C36" t="s">
        <v>6</v>
      </c>
      <c r="D36" s="4">
        <v>10</v>
      </c>
    </row>
    <row r="37" spans="1:4" ht="18.75" customHeight="1">
      <c r="A37" s="5" t="s">
        <v>77</v>
      </c>
      <c r="B37" t="s">
        <v>78</v>
      </c>
      <c r="C37" t="s">
        <v>9</v>
      </c>
      <c r="D37" s="4">
        <v>10</v>
      </c>
    </row>
    <row r="38" spans="1:4" ht="18.75" customHeight="1">
      <c r="A38" s="5" t="s">
        <v>79</v>
      </c>
      <c r="B38" t="s">
        <v>80</v>
      </c>
      <c r="C38" t="s">
        <v>9</v>
      </c>
      <c r="D38" s="4">
        <v>10</v>
      </c>
    </row>
    <row r="39" spans="1:4" ht="18.75" customHeight="1">
      <c r="A39" s="5" t="s">
        <v>81</v>
      </c>
      <c r="B39" s="8" t="s">
        <v>82</v>
      </c>
      <c r="C39" t="s">
        <v>9</v>
      </c>
      <c r="D39" s="4">
        <v>10</v>
      </c>
    </row>
    <row r="40" spans="1:4" ht="18.75" customHeight="1">
      <c r="A40" s="5" t="s">
        <v>83</v>
      </c>
      <c r="B40" t="s">
        <v>84</v>
      </c>
      <c r="C40" t="s">
        <v>9</v>
      </c>
      <c r="D40" s="4">
        <v>10</v>
      </c>
    </row>
    <row r="41" spans="1:4" ht="18.75" customHeight="1">
      <c r="A41" s="5" t="s">
        <v>85</v>
      </c>
      <c r="B41" t="s">
        <v>86</v>
      </c>
      <c r="C41" t="s">
        <v>9</v>
      </c>
      <c r="D41" s="4">
        <v>10</v>
      </c>
    </row>
    <row r="42" spans="1:4" ht="18.75" customHeight="1">
      <c r="A42" s="5" t="s">
        <v>87</v>
      </c>
      <c r="B42" s="8" t="s">
        <v>88</v>
      </c>
      <c r="C42" t="s">
        <v>9</v>
      </c>
      <c r="D42" s="4">
        <v>10</v>
      </c>
    </row>
    <row r="43" spans="1:4" ht="18.75" customHeight="1">
      <c r="A43" s="5" t="s">
        <v>89</v>
      </c>
      <c r="B43" t="s">
        <v>90</v>
      </c>
      <c r="C43" t="s">
        <v>9</v>
      </c>
      <c r="D43" s="4">
        <v>10</v>
      </c>
    </row>
    <row r="44" spans="1:4" ht="18.75" customHeight="1">
      <c r="A44" s="3" t="s">
        <v>91</v>
      </c>
      <c r="B44" t="s">
        <v>92</v>
      </c>
      <c r="C44" t="s">
        <v>6</v>
      </c>
      <c r="D44" s="4">
        <v>10</v>
      </c>
    </row>
    <row r="45" spans="1:4" ht="18.75" customHeight="1">
      <c r="A45" s="5" t="s">
        <v>93</v>
      </c>
      <c r="B45" t="s">
        <v>94</v>
      </c>
      <c r="C45" t="s">
        <v>9</v>
      </c>
      <c r="D45" s="4">
        <v>10</v>
      </c>
    </row>
    <row r="46" spans="1:4" ht="18.75" customHeight="1">
      <c r="A46" s="5" t="s">
        <v>95</v>
      </c>
      <c r="B46" t="s">
        <v>96</v>
      </c>
      <c r="C46" t="s">
        <v>9</v>
      </c>
      <c r="D46" s="4">
        <v>10</v>
      </c>
    </row>
    <row r="47" spans="1:4" ht="18.75" customHeight="1">
      <c r="A47" s="5" t="s">
        <v>97</v>
      </c>
      <c r="B47" t="s">
        <v>98</v>
      </c>
      <c r="C47" t="s">
        <v>9</v>
      </c>
      <c r="D47" s="4">
        <v>10</v>
      </c>
    </row>
    <row r="48" spans="1:4" ht="18.75" customHeight="1">
      <c r="A48" s="5" t="s">
        <v>99</v>
      </c>
      <c r="B48" t="s">
        <v>100</v>
      </c>
      <c r="C48" t="s">
        <v>9</v>
      </c>
      <c r="D48" s="4">
        <v>10</v>
      </c>
    </row>
    <row r="49" spans="1:4" ht="18.75" customHeight="1">
      <c r="A49" s="5" t="s">
        <v>101</v>
      </c>
      <c r="B49" t="s">
        <v>102</v>
      </c>
      <c r="C49" t="s">
        <v>9</v>
      </c>
      <c r="D49" s="4">
        <v>10</v>
      </c>
    </row>
    <row r="50" spans="1:4" ht="18.75" customHeight="1">
      <c r="A50" s="5" t="s">
        <v>103</v>
      </c>
      <c r="B50" t="s">
        <v>104</v>
      </c>
      <c r="C50" t="s">
        <v>9</v>
      </c>
      <c r="D50" s="4">
        <v>10</v>
      </c>
    </row>
    <row r="51" spans="1:4" ht="18.75" customHeight="1">
      <c r="A51" s="7" t="s">
        <v>105</v>
      </c>
      <c r="B51" t="s">
        <v>106</v>
      </c>
      <c r="C51" t="s">
        <v>9</v>
      </c>
      <c r="D51" s="4">
        <v>10</v>
      </c>
    </row>
    <row r="52" spans="1:4" ht="18.75" customHeight="1">
      <c r="A52" s="5" t="s">
        <v>107</v>
      </c>
      <c r="B52" t="s">
        <v>108</v>
      </c>
      <c r="C52" t="s">
        <v>9</v>
      </c>
      <c r="D52" s="4">
        <v>10</v>
      </c>
    </row>
    <row r="53" spans="1:4" ht="18.75" customHeight="1">
      <c r="A53" s="5" t="s">
        <v>109</v>
      </c>
      <c r="B53" t="s">
        <v>110</v>
      </c>
      <c r="C53" t="s">
        <v>9</v>
      </c>
      <c r="D53" s="4">
        <v>10</v>
      </c>
    </row>
    <row r="54" spans="1:4" ht="18.75" customHeight="1">
      <c r="A54" s="5" t="s">
        <v>111</v>
      </c>
      <c r="B54" t="s">
        <v>112</v>
      </c>
      <c r="C54" t="s">
        <v>9</v>
      </c>
      <c r="D54" s="4">
        <v>10</v>
      </c>
    </row>
    <row r="55" spans="1:4" ht="18.75" customHeight="1">
      <c r="A55" s="5" t="s">
        <v>113</v>
      </c>
      <c r="B55" t="s">
        <v>114</v>
      </c>
      <c r="C55" t="s">
        <v>9</v>
      </c>
      <c r="D55" s="4">
        <v>10</v>
      </c>
    </row>
    <row r="56" spans="1:4" ht="18.75" customHeight="1">
      <c r="A56" s="5" t="s">
        <v>115</v>
      </c>
      <c r="B56" t="s">
        <v>116</v>
      </c>
      <c r="C56" t="s">
        <v>9</v>
      </c>
      <c r="D56" s="4">
        <v>10</v>
      </c>
    </row>
    <row r="57" spans="1:4" ht="18.75" customHeight="1"/>
    <row r="58" spans="1:4" ht="18.75" customHeight="1"/>
    <row r="59" spans="1:4" ht="18.75" customHeight="1"/>
    <row r="60" spans="1:4" ht="18.75" customHeight="1"/>
    <row r="61" spans="1:4" ht="18.75" customHeight="1"/>
    <row r="62" spans="1:4" ht="18.75" customHeight="1"/>
    <row r="63" spans="1:4" ht="18.75" customHeight="1"/>
    <row r="64" spans="1:4" ht="18.75" customHeight="1"/>
    <row r="65" spans="1:1" ht="18.75" customHeight="1"/>
    <row r="66" spans="1:1" ht="18.75" customHeight="1"/>
    <row r="67" spans="1:1" ht="18.75" customHeight="1">
      <c r="A67" s="11"/>
    </row>
    <row r="68" spans="1:1" ht="18.75" customHeight="1">
      <c r="A6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S</cp:lastModifiedBy>
  <dcterms:created xsi:type="dcterms:W3CDTF">2025-08-22T08:22:47Z</dcterms:created>
  <dcterms:modified xsi:type="dcterms:W3CDTF">2025-08-23T08:52:03Z</dcterms:modified>
</cp:coreProperties>
</file>