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ONSEGNE"/>
    <sheet r:id="rId2" sheetId="2" name="VEICOLI"/>
    <sheet r:id="rId3" sheetId="3" name="AUTISTI"/>
  </sheets>
  <calcPr fullCalcOnLoad="1"/>
</workbook>
</file>

<file path=xl/sharedStrings.xml><?xml version="1.0" encoding="utf-8"?>
<sst xmlns="http://schemas.openxmlformats.org/spreadsheetml/2006/main" count="870" uniqueCount="241">
  <si>
    <t>NUMBER PLATE</t>
  </si>
  <si>
    <t>DRIVER</t>
  </si>
  <si>
    <t>LICENSE</t>
  </si>
  <si>
    <t>XA359KW</t>
  </si>
  <si>
    <t>Mohamed</t>
  </si>
  <si>
    <t>CE</t>
  </si>
  <si>
    <t>FX192HX</t>
  </si>
  <si>
    <t>Tidian</t>
  </si>
  <si>
    <t>B</t>
  </si>
  <si>
    <t>FX194HX</t>
  </si>
  <si>
    <t>Martinas 1</t>
  </si>
  <si>
    <t>GA620VG</t>
  </si>
  <si>
    <t>Stefan</t>
  </si>
  <si>
    <t>GA621VG</t>
  </si>
  <si>
    <t>Claudio</t>
  </si>
  <si>
    <t>GA625VG</t>
  </si>
  <si>
    <t>Massimo</t>
  </si>
  <si>
    <t>GA630VG</t>
  </si>
  <si>
    <t>Sergio</t>
  </si>
  <si>
    <t>XA356KW</t>
  </si>
  <si>
    <t>Raluca</t>
  </si>
  <si>
    <t>GA637VG</t>
  </si>
  <si>
    <t>Ottavio</t>
  </si>
  <si>
    <t>GA646VG</t>
  </si>
  <si>
    <t>Fabio Paglianiti</t>
  </si>
  <si>
    <t>GA647VG</t>
  </si>
  <si>
    <t>Vece</t>
  </si>
  <si>
    <t>GA649VG</t>
  </si>
  <si>
    <t>Eugenio</t>
  </si>
  <si>
    <t>GC002LX</t>
  </si>
  <si>
    <t>Sorin</t>
  </si>
  <si>
    <t>GC069LX</t>
  </si>
  <si>
    <t>Emanuele</t>
  </si>
  <si>
    <t>GC070LX</t>
  </si>
  <si>
    <t>Giancarlo Zan.</t>
  </si>
  <si>
    <t>C</t>
  </si>
  <si>
    <t>GC079LX</t>
  </si>
  <si>
    <t>Catali</t>
  </si>
  <si>
    <t>GC086LX</t>
  </si>
  <si>
    <t>Modou</t>
  </si>
  <si>
    <t>GE026FZ</t>
  </si>
  <si>
    <t>Daniela</t>
  </si>
  <si>
    <t>GE027FZ</t>
  </si>
  <si>
    <t>Giorgi</t>
  </si>
  <si>
    <t>GE030FZ</t>
  </si>
  <si>
    <t>Nicola</t>
  </si>
  <si>
    <t>GE031FZ</t>
  </si>
  <si>
    <t>Aimad</t>
  </si>
  <si>
    <t>GG355FV</t>
  </si>
  <si>
    <t>Autista1</t>
  </si>
  <si>
    <t>GP339JH</t>
  </si>
  <si>
    <t>Cristian</t>
  </si>
  <si>
    <t>GP340JH</t>
  </si>
  <si>
    <t>Autista2</t>
  </si>
  <si>
    <t>GP507LA</t>
  </si>
  <si>
    <t>Buhan</t>
  </si>
  <si>
    <t>XA819VA</t>
  </si>
  <si>
    <t xml:space="preserve"> Alin</t>
  </si>
  <si>
    <t>GS451PC</t>
  </si>
  <si>
    <t>Dumitru</t>
  </si>
  <si>
    <t>GT715RC</t>
  </si>
  <si>
    <t>Tode</t>
  </si>
  <si>
    <t>GT735RC</t>
  </si>
  <si>
    <t>Nosenzo</t>
  </si>
  <si>
    <t>XA346KW</t>
  </si>
  <si>
    <t>Martinas 2</t>
  </si>
  <si>
    <t>XA345KW</t>
  </si>
  <si>
    <t>Anisoara</t>
  </si>
  <si>
    <t>FF235DM</t>
  </si>
  <si>
    <t>Romea</t>
  </si>
  <si>
    <t>GA622VG</t>
  </si>
  <si>
    <t>Dani</t>
  </si>
  <si>
    <t>GA624VG</t>
  </si>
  <si>
    <t>Adrian</t>
  </si>
  <si>
    <t>GA633VG</t>
  </si>
  <si>
    <t>Arifei</t>
  </si>
  <si>
    <t>GA644VG</t>
  </si>
  <si>
    <t>Giancarlo S.</t>
  </si>
  <si>
    <t>GR124JF</t>
  </si>
  <si>
    <t>Kristy</t>
  </si>
  <si>
    <t>GS178CM</t>
  </si>
  <si>
    <t>Autista3</t>
  </si>
  <si>
    <t>GS452PC</t>
  </si>
  <si>
    <t>Cracara</t>
  </si>
  <si>
    <t>GS453PC</t>
  </si>
  <si>
    <t>Gianni Vantaggiato</t>
  </si>
  <si>
    <t>GT004SW</t>
  </si>
  <si>
    <t>Autista4</t>
  </si>
  <si>
    <t>GT125RB</t>
  </si>
  <si>
    <t>Katalin</t>
  </si>
  <si>
    <t>XA321KW</t>
  </si>
  <si>
    <t>Miu</t>
  </si>
  <si>
    <t>GW855CW</t>
  </si>
  <si>
    <t>Ciro Sorrentino</t>
  </si>
  <si>
    <t>GW862CW</t>
  </si>
  <si>
    <t>Liviu</t>
  </si>
  <si>
    <t>GW863CW</t>
  </si>
  <si>
    <t>Vera</t>
  </si>
  <si>
    <t>GW865CW</t>
  </si>
  <si>
    <t>Panche</t>
  </si>
  <si>
    <t>GW871CW</t>
  </si>
  <si>
    <t>Claudio Massidda</t>
  </si>
  <si>
    <t>GW873CW</t>
  </si>
  <si>
    <t>Made</t>
  </si>
  <si>
    <t>GW877CW</t>
  </si>
  <si>
    <t>Angelo D'amato</t>
  </si>
  <si>
    <t>GW879CW</t>
  </si>
  <si>
    <t>Demo</t>
  </si>
  <si>
    <t>GW880CW</t>
  </si>
  <si>
    <t>Alessandro Perrotta</t>
  </si>
  <si>
    <t>GW882CW</t>
  </si>
  <si>
    <t>Vasile</t>
  </si>
  <si>
    <t>GW883CW</t>
  </si>
  <si>
    <t>Pasquale</t>
  </si>
  <si>
    <t>GW894CW</t>
  </si>
  <si>
    <t>Roberto Rainero</t>
  </si>
  <si>
    <t>TYPE OF VEHICLE</t>
  </si>
  <si>
    <t>MAX LOAD KG</t>
  </si>
  <si>
    <t>PALLET</t>
  </si>
  <si>
    <t>MAX LOAD VOLUME M^3</t>
  </si>
  <si>
    <t>LOADER</t>
  </si>
  <si>
    <t>LOW TEMP</t>
  </si>
  <si>
    <t>LAST IN FIRST OUT</t>
  </si>
  <si>
    <t>HANGERS</t>
  </si>
  <si>
    <t>REGULATIONS</t>
  </si>
  <si>
    <t>FURGONE</t>
  </si>
  <si>
    <t>NO</t>
  </si>
  <si>
    <t>YES</t>
  </si>
  <si>
    <t>CAMION</t>
  </si>
  <si>
    <t>NAME</t>
  </si>
  <si>
    <t>ADDRESS</t>
  </si>
  <si>
    <t>POSTAL CODE</t>
  </si>
  <si>
    <t>COUNTRY</t>
  </si>
  <si>
    <t>TIME WINDOW DATE (24=0)</t>
  </si>
  <si>
    <t>TIME WINDOW HOURS</t>
  </si>
  <si>
    <t>SERVICE TIME</t>
  </si>
  <si>
    <t>DELIVERY OR PICKUP</t>
  </si>
  <si>
    <t>LOAD KG</t>
  </si>
  <si>
    <t>LOAD VOLUME M^3</t>
  </si>
  <si>
    <t xml:space="preserve">COLUMBIA  SERRAVALLE </t>
  </si>
  <si>
    <t>VIA DELLA MODA 1  SERRAVALLE SCRIVIA</t>
  </si>
  <si>
    <t>ITALY</t>
  </si>
  <si>
    <t>07:30-09:30</t>
  </si>
  <si>
    <t xml:space="preserve">DELIVERY </t>
  </si>
  <si>
    <t xml:space="preserve">LIEBOT SRL </t>
  </si>
  <si>
    <t>VIA DEL COMMERCIO 20 BERNAREGGIO</t>
  </si>
  <si>
    <t>00:00-10:00</t>
  </si>
  <si>
    <t>PICKUP</t>
  </si>
  <si>
    <t>MARAZZATO GIOVANNI SRL</t>
  </si>
  <si>
    <t>VIA VILLANOVA 35 TREBASELEGHE</t>
  </si>
  <si>
    <t>00:00-23:59</t>
  </si>
  <si>
    <t>MOVISTAR SRL</t>
  </si>
  <si>
    <t xml:space="preserve"> VIA OLANDA 5  VIGONZA</t>
  </si>
  <si>
    <t>00:00-12:00</t>
  </si>
  <si>
    <t xml:space="preserve">MEMFIS </t>
  </si>
  <si>
    <t xml:space="preserve"> LOCALITÀ BATASIOLO 85/A  LA MORRA</t>
  </si>
  <si>
    <t>DELIVERY</t>
  </si>
  <si>
    <t xml:space="preserve">SUERMERCATI TOSANO CEREA </t>
  </si>
  <si>
    <t xml:space="preserve"> VIA PALESELLA 1 CEREA</t>
  </si>
  <si>
    <t>DSV VERONA</t>
  </si>
  <si>
    <t>VIA SOMMACAMPAGNA 22 VERONA</t>
  </si>
  <si>
    <t xml:space="preserve">IL PIZZICAGNOLO </t>
  </si>
  <si>
    <t xml:space="preserve">VIA CAVALLEGGERI D'UDINE  5 MEZZOLOMBARDO </t>
  </si>
  <si>
    <t xml:space="preserve">ROECHLING  AUTOMOTIVE ITALIA </t>
  </si>
  <si>
    <t>VIA NOBEL 11 LAIVES</t>
  </si>
  <si>
    <t>08:00-12:00</t>
  </si>
  <si>
    <t>DANCUP 13</t>
  </si>
  <si>
    <t>BOUC-BEL AIR</t>
  </si>
  <si>
    <t>FRANCE</t>
  </si>
  <si>
    <t>CURTI SRL</t>
  </si>
  <si>
    <t>VIA STAZIONE 113 VALLE LOMELLINA</t>
  </si>
  <si>
    <t>MARCONI</t>
  </si>
  <si>
    <t>VIA 11 SETTEMBRE 2001 VOLGARGNE</t>
  </si>
  <si>
    <t>DABRAZZI PACKAGING</t>
  </si>
  <si>
    <t>VIA MANDOLOSSA 43/45 MANDOLOSSA</t>
  </si>
  <si>
    <t>08:00-17:30</t>
  </si>
  <si>
    <t>AGRIACRO TECH SRL</t>
  </si>
  <si>
    <t>LARGO EULA 1 PIEVE DI TECO</t>
  </si>
  <si>
    <t>FARMACEUTICI PROMCEMSA</t>
  </si>
  <si>
    <t xml:space="preserve">VIA VERNEA 129 NICHELINO </t>
  </si>
  <si>
    <t>08:30-16:30</t>
  </si>
  <si>
    <t xml:space="preserve">FIAT V. I SPA STAB BRESCIA </t>
  </si>
  <si>
    <t>VIA VOLTURNO 68 BRESCIA</t>
  </si>
  <si>
    <t>12:00-16:00</t>
  </si>
  <si>
    <t xml:space="preserve">DOX-AL ITALIA SPA </t>
  </si>
  <si>
    <t>VIA MASCAGNI 6/A  SULBIATE</t>
  </si>
  <si>
    <t xml:space="preserve">PICKUP </t>
  </si>
  <si>
    <t>I.B.O. SRL</t>
  </si>
  <si>
    <t>VIA BONIPERTI 74 MOMO</t>
  </si>
  <si>
    <t xml:space="preserve">ANTONIO CAPPELLARI SRL </t>
  </si>
  <si>
    <t xml:space="preserve">VIA MARZABOTTO 16  CASTELLO SOPRA TICINO </t>
  </si>
  <si>
    <t>APICOLTURA GALEAZZI FLAVIO</t>
  </si>
  <si>
    <t>VIA INVORIO 66  GHEVIO DI MEINA</t>
  </si>
  <si>
    <t>FRADDY SPA MILANO</t>
  </si>
  <si>
    <t xml:space="preserve">CORSO BUENOS AIRES 20 MILANO </t>
  </si>
  <si>
    <t>FRADDY SPA CHIAVARI</t>
  </si>
  <si>
    <t xml:space="preserve">VIA S. RUFINO 31  CHIAVARI </t>
  </si>
  <si>
    <t>PETRUCCI NATALI SRL</t>
  </si>
  <si>
    <t>VIA DELLA SBROZZOLA 14 CAMERANO</t>
  </si>
  <si>
    <t>CENTRO FIORINA</t>
  </si>
  <si>
    <t>STRADA DI PADERNA 2  DOMAGNO</t>
  </si>
  <si>
    <t>SAN MARINO</t>
  </si>
  <si>
    <t>08:00-17:00</t>
  </si>
  <si>
    <t>FRANCO RIBALTA NOSTRO MAGAZZINO DROGHERIA</t>
  </si>
  <si>
    <t xml:space="preserve">STRADA PROVINCIALE PER RECETTO 580  BIANDRATE </t>
  </si>
  <si>
    <t>GAUDì TRADE SPA CARPI</t>
  </si>
  <si>
    <t xml:space="preserve">VIA NUOVA PONENTE 29 CARPI </t>
  </si>
  <si>
    <t>C/O MTC PROREO SRL</t>
  </si>
  <si>
    <t>STRADA PEDEMONTANA EST 27 TRAVERSETOLO</t>
  </si>
  <si>
    <t>AREA FOOD GASTRONOMIA CASTELFRUTTA SRL</t>
  </si>
  <si>
    <t xml:space="preserve">VIA GIULIA 35 TRIESTE </t>
  </si>
  <si>
    <t>BIOFARMA</t>
  </si>
  <si>
    <t>VIA DIVISIONE JULIA 23 MERETO DI TOMBA</t>
  </si>
  <si>
    <t xml:space="preserve">DIPHARMA FRANCIS SRL </t>
  </si>
  <si>
    <t>VIA XXIV MAGGIO 40  MERETO DI TOMBA</t>
  </si>
  <si>
    <t>CAPELLO SRL</t>
  </si>
  <si>
    <t xml:space="preserve">VIA VALLE PO 100  CUNEO </t>
  </si>
  <si>
    <t>GFM IMBOTTITURE SNC</t>
  </si>
  <si>
    <t>VIA ASTI MARE 6/B VIGLIIANO D'ASTI</t>
  </si>
  <si>
    <t>07:00-14:00</t>
  </si>
  <si>
    <t xml:space="preserve">GS S.P.A. </t>
  </si>
  <si>
    <t xml:space="preserve">VIA MARCO BIAGI 3 RIVALTA </t>
  </si>
  <si>
    <t>M.I.A. CAMBIANO</t>
  </si>
  <si>
    <t xml:space="preserve">VIA NAZIONALE 11 CAMBIANO </t>
  </si>
  <si>
    <t>O.R.M.I.G. SPA</t>
  </si>
  <si>
    <t xml:space="preserve">PIAZZALE ORMIG REGIONE CARLOVI 12A  OVADA ALTA </t>
  </si>
  <si>
    <t>C.TO CLIENTE IMEB</t>
  </si>
  <si>
    <t xml:space="preserve">VIA FIRMANO 14 CIVIDALE DEL FRIULI </t>
  </si>
  <si>
    <t xml:space="preserve">IPER MONTEBELLO SPA </t>
  </si>
  <si>
    <t>VIA LURAGHI 11 ARESE</t>
  </si>
  <si>
    <t xml:space="preserve">LOFARMA SPA </t>
  </si>
  <si>
    <t>VIALE CASSALA 40 MILANO</t>
  </si>
  <si>
    <t>09:00-23:59</t>
  </si>
  <si>
    <t>STEROID SPA</t>
  </si>
  <si>
    <t xml:space="preserve">VIA SPAGNA 156 COLOGNO MONZESE </t>
  </si>
  <si>
    <t xml:space="preserve">RAVIOLIFICIO LO SCOIATTOLO </t>
  </si>
  <si>
    <t xml:space="preserve">VIA B FRANKLIN 8  LOANTE CEPPINO </t>
  </si>
  <si>
    <t xml:space="preserve">ALHA AIR LINES HANDLING AGENTS SPA </t>
  </si>
  <si>
    <t xml:space="preserve">VIA GRAN SASSO 1 TRUCCAZZANO </t>
  </si>
  <si>
    <t>FORNO DI GALLONE FILIPPO AND C</t>
  </si>
  <si>
    <t xml:space="preserve">VIA ALBINONI 50 SOLIERA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</si>
</sst>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</font>
    <font>
      <sz val="11"/>
      <color rgb="FFd883ff"/>
      <name val="Aptos Narrow"/>
      <family val="2"/>
    </font>
    <font>
      <sz val="11"/>
      <color rgb="FF0070c0"/>
      <name val="Aptos Narrow"/>
      <family val="2"/>
    </font>
    <font>
      <sz val="11"/>
      <color rgb="FF00b050"/>
      <name val="Aptos Narrow"/>
      <family val="2"/>
    </font>
    <font>
      <sz val="11"/>
      <color rgb="FFd883ff"/>
      <name val="Aptos Narrow (Body)"/>
      <family val="2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0545e"/>
      </patternFill>
    </fill>
    <fill>
      <patternFill patternType="solid">
        <fgColor rgb="FF76d6ff"/>
      </patternFill>
    </fill>
    <fill>
      <patternFill patternType="solid">
        <fgColor rgb="FFff8ad8"/>
      </patternFill>
    </fill>
    <fill>
      <patternFill patternType="solid">
        <fgColor rgb="FFff9300"/>
      </patternFill>
    </fill>
    <fill>
      <patternFill patternType="solid">
        <fgColor rgb="FF7a81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0">
    <xf xfId="0" numFmtId="0" borderId="0" fontId="0" fillId="0"/>
    <xf xfId="0" numFmtId="0" borderId="1" applyBorder="1" fontId="1" applyFont="1" fillId="0" applyAlignment="1">
      <alignment horizontal="left"/>
    </xf>
    <xf xfId="0" numFmtId="0" borderId="2" applyBorder="1" fontId="2" applyFont="1" fillId="2" applyFill="1" applyAlignment="1">
      <alignment horizontal="left"/>
    </xf>
    <xf xfId="0" numFmtId="0" borderId="0" fontId="0" fillId="0" applyAlignment="1">
      <alignment horizontal="general"/>
    </xf>
    <xf xfId="0" numFmtId="0" borderId="2" applyBorder="1" fontId="2" applyFont="1" fillId="3" applyFill="1" applyAlignment="1">
      <alignment horizontal="left"/>
    </xf>
    <xf xfId="0" numFmtId="0" borderId="2" applyBorder="1" fontId="2" applyFont="1" fillId="4" applyFill="1" applyAlignment="1">
      <alignment horizontal="left"/>
    </xf>
    <xf xfId="0" numFmtId="0" borderId="2" applyBorder="1" fontId="2" applyFont="1" fillId="5" applyFill="1" applyAlignment="1">
      <alignment horizontal="left"/>
    </xf>
    <xf xfId="0" numFmtId="0" borderId="1" applyBorder="1" fontId="3" applyFont="1" fillId="0" applyAlignment="1">
      <alignment horizontal="left"/>
    </xf>
    <xf xfId="0" numFmtId="0" borderId="2" applyBorder="1" fontId="2" applyFont="1" fillId="6" applyFill="1" applyAlignment="1">
      <alignment horizontal="left"/>
    </xf>
    <xf xfId="0" numFmtId="0" borderId="0" fontId="0" fillId="0" applyAlignment="1">
      <alignment horizontal="left"/>
    </xf>
    <xf xfId="0" numFmtId="0" borderId="1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right"/>
    </xf>
    <xf xfId="0" numFmtId="0" borderId="2" applyBorder="1" fontId="2" applyFont="1" fillId="3" applyFill="1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1" applyBorder="1" fontId="3" applyFont="1" fillId="0" applyAlignment="1">
      <alignment horizontal="right"/>
    </xf>
    <xf xfId="0" numFmtId="0" borderId="1" applyBorder="1" fontId="6" applyFont="1" fillId="0" applyAlignment="1">
      <alignment horizontal="right"/>
    </xf>
    <xf xfId="0" numFmtId="0" borderId="1" applyBorder="1" fontId="2" applyFont="1" fillId="0" applyAlignment="1">
      <alignment horizontal="right"/>
    </xf>
    <xf xfId="0" numFmtId="0" borderId="2" applyBorder="1" fontId="2" applyFont="1" fillId="4" applyFill="1" applyAlignment="1">
      <alignment horizontal="right"/>
    </xf>
    <xf xfId="0" numFmtId="4" applyNumberFormat="1" borderId="1" applyBorder="1" fontId="4" applyFont="1" fillId="0" applyAlignment="1">
      <alignment horizontal="right"/>
    </xf>
    <xf xfId="0" numFmtId="0" borderId="2" applyBorder="1" fontId="2" applyFont="1" fillId="5" applyFill="1" applyAlignment="1">
      <alignment horizontal="right"/>
    </xf>
    <xf xfId="0" numFmtId="0" borderId="2" applyBorder="1" fontId="2" applyFont="1" fillId="6" applyFill="1" applyAlignment="1">
      <alignment horizontal="right"/>
    </xf>
    <xf xfId="0" numFmtId="4" applyNumberFormat="1" borderId="1" applyBorder="1" fontId="7" applyFont="1" fillId="0" applyAlignment="1">
      <alignment horizontal="right"/>
    </xf>
    <xf xfId="0" numFmtId="0" borderId="2" applyBorder="1" fontId="2" applyFont="1" fillId="2" applyFill="1" applyAlignment="1">
      <alignment horizontal="right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1" applyBorder="1" fontId="8" applyFont="1" fillId="0" applyAlignment="1">
      <alignment horizontal="right"/>
    </xf>
    <xf xfId="0" numFmtId="3" applyNumberFormat="1" borderId="1" applyBorder="1" fontId="8" applyFont="1" fillId="0" applyAlignment="1">
      <alignment horizontal="right"/>
    </xf>
    <xf xfId="0" numFmtId="4" applyNumberFormat="1" borderId="1" applyBorder="1" fontId="8" applyFont="1" fillId="0" applyAlignment="1">
      <alignment horizontal="right"/>
    </xf>
    <xf xfId="0" numFmtId="3" applyNumberFormat="1" borderId="1" applyBorder="1" fontId="8" applyFont="1" fillId="0" applyAlignment="1">
      <alignment horizontal="left"/>
    </xf>
    <xf xfId="0" numFmtId="4" applyNumberFormat="1" borderId="1" applyBorder="1" fontId="8" applyFont="1" fillId="0" applyAlignment="1">
      <alignment horizontal="left"/>
    </xf>
    <xf xfId="0" numFmtId="0" borderId="1" applyBorder="1" fontId="8" applyFont="1" fillId="0" applyAlignment="1">
      <alignment horizontal="left"/>
    </xf>
    <xf xfId="0" numFmtId="3" applyNumberFormat="1" borderId="0" fontId="0" fillId="0" applyAlignment="1">
      <alignment horizontal="left"/>
    </xf>
    <xf xfId="0" numFmtId="4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35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2" width="53.86214285714286" customWidth="1" bestFit="1"/>
    <col min="2" max="2" style="12" width="62.29071428571429" customWidth="1" bestFit="1"/>
    <col min="3" max="3" style="38" width="62.29071428571429" customWidth="1" bestFit="1"/>
    <col min="4" max="4" style="12" width="62.29071428571429" customWidth="1" bestFit="1"/>
    <col min="5" max="5" style="38" width="62.29071428571429" customWidth="1" bestFit="1"/>
    <col min="6" max="6" style="12" width="46.005" customWidth="1" bestFit="1"/>
    <col min="7" max="7" style="38" width="20.433571428571426" customWidth="1" bestFit="1"/>
    <col min="8" max="8" style="12" width="29.862142857142857" customWidth="1" bestFit="1"/>
    <col min="9" max="9" style="38" width="18.719285714285714" customWidth="1" bestFit="1"/>
    <col min="10" max="10" style="39" width="43.29071428571429" customWidth="1" bestFit="1"/>
    <col min="11" max="11" style="38" width="18.719285714285714" customWidth="1" bestFit="1"/>
    <col min="12" max="12" style="12" width="18.719285714285714" customWidth="1" bestFit="1"/>
    <col min="13" max="13" style="12" width="16.433571428571426" customWidth="1" bestFit="1"/>
    <col min="14" max="14" style="13" width="15.290714285714287" customWidth="1" bestFit="1"/>
    <col min="15" max="15" style="13" width="13.576428571428572" customWidth="1" bestFit="1"/>
  </cols>
  <sheetData>
    <row x14ac:dyDescent="0.25" r="1" customHeight="1" ht="18.75">
      <c r="A1" s="1" t="s">
        <v>129</v>
      </c>
      <c r="B1" s="1" t="s">
        <v>130</v>
      </c>
      <c r="C1" s="14" t="s">
        <v>131</v>
      </c>
      <c r="D1" s="1" t="s">
        <v>132</v>
      </c>
      <c r="E1" s="14" t="s">
        <v>133</v>
      </c>
      <c r="F1" s="1" t="s">
        <v>134</v>
      </c>
      <c r="G1" s="14" t="s">
        <v>135</v>
      </c>
      <c r="H1" s="1" t="s">
        <v>136</v>
      </c>
      <c r="I1" s="14" t="s">
        <v>137</v>
      </c>
      <c r="J1" s="15" t="s">
        <v>138</v>
      </c>
      <c r="K1" s="14" t="s">
        <v>118</v>
      </c>
      <c r="L1" s="16" t="s">
        <v>121</v>
      </c>
      <c r="M1" s="1" t="s">
        <v>120</v>
      </c>
      <c r="N1" s="3"/>
      <c r="O1" s="3"/>
    </row>
    <row x14ac:dyDescent="0.25" r="2" customHeight="1" ht="19.5">
      <c r="A2" s="32" t="s">
        <v>139</v>
      </c>
      <c r="B2" s="32" t="s">
        <v>140</v>
      </c>
      <c r="C2" s="33">
        <v>15069</v>
      </c>
      <c r="D2" s="32" t="s">
        <v>141</v>
      </c>
      <c r="E2" s="33">
        <v>0</v>
      </c>
      <c r="F2" s="32" t="s">
        <v>142</v>
      </c>
      <c r="G2" s="33">
        <v>30</v>
      </c>
      <c r="H2" s="32" t="s">
        <v>143</v>
      </c>
      <c r="I2" s="33">
        <v>649</v>
      </c>
      <c r="J2" s="34">
        <v>7.31</v>
      </c>
      <c r="K2" s="33">
        <v>6</v>
      </c>
      <c r="L2" s="22" t="s">
        <v>126</v>
      </c>
      <c r="M2" s="32" t="s">
        <v>127</v>
      </c>
      <c r="N2" s="22"/>
      <c r="O2" s="22"/>
    </row>
    <row x14ac:dyDescent="0.25" r="3" customHeight="1" ht="19.5">
      <c r="A3" s="22" t="s">
        <v>144</v>
      </c>
      <c r="B3" s="22" t="s">
        <v>145</v>
      </c>
      <c r="C3" s="18">
        <v>20881</v>
      </c>
      <c r="D3" s="32" t="s">
        <v>141</v>
      </c>
      <c r="E3" s="33">
        <v>0</v>
      </c>
      <c r="F3" s="32" t="s">
        <v>146</v>
      </c>
      <c r="G3" s="33">
        <v>30</v>
      </c>
      <c r="H3" s="22" t="s">
        <v>147</v>
      </c>
      <c r="I3" s="18">
        <v>500</v>
      </c>
      <c r="J3" s="19">
        <f>445*115*270/1000000</f>
      </c>
      <c r="K3" s="18">
        <v>2</v>
      </c>
      <c r="L3" s="22" t="s">
        <v>126</v>
      </c>
      <c r="M3" s="22" t="s">
        <v>126</v>
      </c>
      <c r="N3" s="22"/>
      <c r="O3" s="22"/>
    </row>
    <row x14ac:dyDescent="0.25" r="4" customHeight="1" ht="19.5">
      <c r="A4" s="32" t="s">
        <v>148</v>
      </c>
      <c r="B4" s="32" t="s">
        <v>149</v>
      </c>
      <c r="C4" s="33">
        <v>35010</v>
      </c>
      <c r="D4" s="32" t="s">
        <v>141</v>
      </c>
      <c r="E4" s="33">
        <v>4</v>
      </c>
      <c r="F4" s="32" t="s">
        <v>150</v>
      </c>
      <c r="G4" s="33">
        <v>30</v>
      </c>
      <c r="H4" s="32" t="s">
        <v>147</v>
      </c>
      <c r="I4" s="33">
        <v>100</v>
      </c>
      <c r="J4" s="34">
        <f>80*120*100/1000000</f>
      </c>
      <c r="K4" s="33">
        <v>1</v>
      </c>
      <c r="L4" s="22" t="s">
        <v>126</v>
      </c>
      <c r="M4" s="22" t="s">
        <v>126</v>
      </c>
      <c r="N4" s="22"/>
      <c r="O4" s="22"/>
    </row>
    <row x14ac:dyDescent="0.25" r="5" customHeight="1" ht="19.5">
      <c r="A5" s="32" t="s">
        <v>151</v>
      </c>
      <c r="B5" s="32" t="s">
        <v>152</v>
      </c>
      <c r="C5" s="33">
        <v>35010</v>
      </c>
      <c r="D5" s="32" t="s">
        <v>141</v>
      </c>
      <c r="E5" s="33">
        <v>1</v>
      </c>
      <c r="F5" s="32" t="s">
        <v>153</v>
      </c>
      <c r="G5" s="33">
        <v>30</v>
      </c>
      <c r="H5" s="32" t="s">
        <v>147</v>
      </c>
      <c r="I5" s="33">
        <v>60</v>
      </c>
      <c r="J5" s="34">
        <f>120*115*120/1000000</f>
      </c>
      <c r="K5" s="33">
        <v>1</v>
      </c>
      <c r="L5" s="22" t="s">
        <v>126</v>
      </c>
      <c r="M5" s="22" t="s">
        <v>126</v>
      </c>
      <c r="N5" s="22"/>
      <c r="O5" s="22"/>
    </row>
    <row x14ac:dyDescent="0.25" r="6" customHeight="1" ht="19.5">
      <c r="A6" s="32" t="s">
        <v>154</v>
      </c>
      <c r="B6" s="32" t="s">
        <v>155</v>
      </c>
      <c r="C6" s="33">
        <v>12064</v>
      </c>
      <c r="D6" s="32" t="s">
        <v>141</v>
      </c>
      <c r="E6" s="33">
        <v>1</v>
      </c>
      <c r="F6" s="32" t="s">
        <v>153</v>
      </c>
      <c r="G6" s="33">
        <v>30</v>
      </c>
      <c r="H6" s="32" t="s">
        <v>156</v>
      </c>
      <c r="I6" s="33">
        <v>60</v>
      </c>
      <c r="J6" s="34">
        <f>120*115*120/1000000</f>
      </c>
      <c r="K6" s="33">
        <v>1</v>
      </c>
      <c r="L6" s="22" t="s">
        <v>126</v>
      </c>
      <c r="M6" s="22" t="s">
        <v>126</v>
      </c>
      <c r="N6" s="22"/>
      <c r="O6" s="22"/>
    </row>
    <row x14ac:dyDescent="0.25" r="7" customHeight="1" ht="19.5">
      <c r="A7" s="32" t="s">
        <v>157</v>
      </c>
      <c r="B7" s="22" t="s">
        <v>158</v>
      </c>
      <c r="C7" s="18">
        <v>37053</v>
      </c>
      <c r="D7" s="32" t="s">
        <v>141</v>
      </c>
      <c r="E7" s="33">
        <v>0</v>
      </c>
      <c r="F7" s="32" t="s">
        <v>150</v>
      </c>
      <c r="G7" s="33">
        <v>30</v>
      </c>
      <c r="H7" s="32" t="s">
        <v>143</v>
      </c>
      <c r="I7" s="33">
        <v>600</v>
      </c>
      <c r="J7" s="34">
        <f>5*100*120*80/1000000</f>
      </c>
      <c r="K7" s="33">
        <v>5</v>
      </c>
      <c r="L7" s="22" t="s">
        <v>126</v>
      </c>
      <c r="M7" s="22" t="s">
        <v>126</v>
      </c>
      <c r="N7" s="22"/>
      <c r="O7" s="3"/>
    </row>
    <row x14ac:dyDescent="0.25" r="8" customHeight="1" ht="19.5">
      <c r="A8" s="32" t="s">
        <v>159</v>
      </c>
      <c r="B8" s="32" t="s">
        <v>160</v>
      </c>
      <c r="C8" s="33">
        <v>37137</v>
      </c>
      <c r="D8" s="32" t="s">
        <v>141</v>
      </c>
      <c r="E8" s="33">
        <v>0</v>
      </c>
      <c r="F8" s="32" t="s">
        <v>150</v>
      </c>
      <c r="G8" s="33">
        <v>30</v>
      </c>
      <c r="H8" s="32" t="s">
        <v>147</v>
      </c>
      <c r="I8" s="33">
        <v>104</v>
      </c>
      <c r="J8" s="34">
        <f>((134*17*17)+(250*25*24)+(237*23*31)+(144*36*24))/1000000</f>
      </c>
      <c r="K8" s="33">
        <v>4</v>
      </c>
      <c r="L8" s="22" t="s">
        <v>126</v>
      </c>
      <c r="M8" s="22" t="s">
        <v>126</v>
      </c>
      <c r="N8" s="22"/>
      <c r="O8" s="22"/>
    </row>
    <row x14ac:dyDescent="0.25" r="9" customHeight="1" ht="19.5">
      <c r="A9" s="32" t="s">
        <v>161</v>
      </c>
      <c r="B9" s="32" t="s">
        <v>162</v>
      </c>
      <c r="C9" s="33">
        <v>38017</v>
      </c>
      <c r="D9" s="32" t="s">
        <v>141</v>
      </c>
      <c r="E9" s="33">
        <v>0</v>
      </c>
      <c r="F9" s="32" t="s">
        <v>150</v>
      </c>
      <c r="G9" s="33">
        <v>30</v>
      </c>
      <c r="H9" s="32" t="s">
        <v>143</v>
      </c>
      <c r="I9" s="33">
        <v>400</v>
      </c>
      <c r="J9" s="34">
        <f>4*100*80*120/1000000</f>
      </c>
      <c r="K9" s="33">
        <v>4</v>
      </c>
      <c r="L9" s="22" t="s">
        <v>126</v>
      </c>
      <c r="M9" s="22" t="s">
        <v>126</v>
      </c>
      <c r="N9" s="22"/>
      <c r="O9" s="22"/>
    </row>
    <row x14ac:dyDescent="0.25" r="10" customHeight="1" ht="19.5">
      <c r="A10" s="32" t="s">
        <v>163</v>
      </c>
      <c r="B10" s="32" t="s">
        <v>164</v>
      </c>
      <c r="C10" s="33">
        <v>39055</v>
      </c>
      <c r="D10" s="32" t="s">
        <v>141</v>
      </c>
      <c r="E10" s="33">
        <v>0</v>
      </c>
      <c r="F10" s="32" t="s">
        <v>165</v>
      </c>
      <c r="G10" s="33">
        <v>30</v>
      </c>
      <c r="H10" s="32" t="s">
        <v>147</v>
      </c>
      <c r="I10" s="33">
        <v>1200</v>
      </c>
      <c r="J10" s="34">
        <f>12*100*80*120/1000000</f>
      </c>
      <c r="K10" s="33">
        <v>12</v>
      </c>
      <c r="L10" s="22" t="s">
        <v>126</v>
      </c>
      <c r="M10" s="22" t="s">
        <v>126</v>
      </c>
      <c r="N10" s="22"/>
      <c r="O10" s="22"/>
    </row>
    <row x14ac:dyDescent="0.25" r="11" customHeight="1" ht="19.5">
      <c r="A11" s="32" t="s">
        <v>166</v>
      </c>
      <c r="B11" s="32" t="s">
        <v>167</v>
      </c>
      <c r="C11" s="33">
        <v>13320</v>
      </c>
      <c r="D11" s="32" t="s">
        <v>168</v>
      </c>
      <c r="E11" s="33">
        <v>4</v>
      </c>
      <c r="F11" s="32" t="s">
        <v>150</v>
      </c>
      <c r="G11" s="33">
        <v>30</v>
      </c>
      <c r="H11" s="32" t="s">
        <v>143</v>
      </c>
      <c r="I11" s="33">
        <v>4201</v>
      </c>
      <c r="J11" s="34">
        <f>10*100*80*120/1000000</f>
      </c>
      <c r="K11" s="33">
        <v>10</v>
      </c>
      <c r="L11" s="22" t="s">
        <v>126</v>
      </c>
      <c r="M11" s="22" t="s">
        <v>126</v>
      </c>
      <c r="N11" s="22"/>
      <c r="O11" s="22"/>
    </row>
    <row x14ac:dyDescent="0.25" r="12" customHeight="1" ht="19.5">
      <c r="A12" s="32" t="s">
        <v>169</v>
      </c>
      <c r="B12" s="32" t="s">
        <v>170</v>
      </c>
      <c r="C12" s="33">
        <v>27020</v>
      </c>
      <c r="D12" s="32" t="s">
        <v>141</v>
      </c>
      <c r="E12" s="33">
        <v>0</v>
      </c>
      <c r="F12" s="32" t="s">
        <v>150</v>
      </c>
      <c r="G12" s="33">
        <v>30</v>
      </c>
      <c r="H12" s="32" t="s">
        <v>147</v>
      </c>
      <c r="I12" s="33">
        <v>25100</v>
      </c>
      <c r="J12" s="34">
        <f>33*100*80*120/1000000</f>
      </c>
      <c r="K12" s="33">
        <v>33</v>
      </c>
      <c r="L12" s="22" t="s">
        <v>126</v>
      </c>
      <c r="M12" s="22" t="s">
        <v>126</v>
      </c>
      <c r="N12" s="3"/>
      <c r="O12" s="3"/>
    </row>
    <row x14ac:dyDescent="0.25" r="13" customHeight="1" ht="19.5">
      <c r="A13" s="32" t="s">
        <v>171</v>
      </c>
      <c r="B13" s="32" t="s">
        <v>172</v>
      </c>
      <c r="C13" s="33">
        <v>37020</v>
      </c>
      <c r="D13" s="32" t="s">
        <v>141</v>
      </c>
      <c r="E13" s="33">
        <v>0</v>
      </c>
      <c r="F13" s="32" t="s">
        <v>150</v>
      </c>
      <c r="G13" s="33">
        <v>30</v>
      </c>
      <c r="H13" s="32" t="s">
        <v>147</v>
      </c>
      <c r="I13" s="33">
        <v>6000</v>
      </c>
      <c r="J13" s="33">
        <f>(4*(120*100*100)+(150*80*100))/1000000</f>
      </c>
      <c r="K13" s="33">
        <v>5</v>
      </c>
      <c r="L13" s="22" t="s">
        <v>126</v>
      </c>
      <c r="M13" s="22" t="s">
        <v>126</v>
      </c>
      <c r="N13" s="3"/>
      <c r="O13" s="3"/>
    </row>
    <row x14ac:dyDescent="0.25" r="14" customHeight="1" ht="19.5">
      <c r="A14" s="32" t="s">
        <v>173</v>
      </c>
      <c r="B14" s="32" t="s">
        <v>174</v>
      </c>
      <c r="C14" s="33">
        <v>25030</v>
      </c>
      <c r="D14" s="32" t="s">
        <v>141</v>
      </c>
      <c r="E14" s="33">
        <v>0</v>
      </c>
      <c r="F14" s="32" t="s">
        <v>175</v>
      </c>
      <c r="G14" s="33">
        <v>30</v>
      </c>
      <c r="H14" s="32" t="s">
        <v>147</v>
      </c>
      <c r="I14" s="34">
        <v>6675.74</v>
      </c>
      <c r="J14" s="34">
        <f>(9*(100*120*160)+ 4*(100*120*130))/1000000</f>
      </c>
      <c r="K14" s="33">
        <v>13</v>
      </c>
      <c r="L14" s="22" t="s">
        <v>126</v>
      </c>
      <c r="M14" s="22" t="s">
        <v>126</v>
      </c>
      <c r="N14" s="3"/>
      <c r="O14" s="3"/>
    </row>
    <row x14ac:dyDescent="0.25" r="15" customHeight="1" ht="19.5">
      <c r="A15" s="32" t="s">
        <v>176</v>
      </c>
      <c r="B15" s="32" t="s">
        <v>177</v>
      </c>
      <c r="C15" s="33">
        <v>18026</v>
      </c>
      <c r="D15" s="32" t="s">
        <v>141</v>
      </c>
      <c r="E15" s="33">
        <v>0</v>
      </c>
      <c r="F15" s="32" t="s">
        <v>165</v>
      </c>
      <c r="G15" s="33">
        <v>30</v>
      </c>
      <c r="H15" s="32" t="s">
        <v>156</v>
      </c>
      <c r="I15" s="33">
        <v>850</v>
      </c>
      <c r="J15" s="34">
        <v>26.63</v>
      </c>
      <c r="K15" s="33">
        <v>6</v>
      </c>
      <c r="L15" s="22" t="s">
        <v>126</v>
      </c>
      <c r="M15" s="22" t="s">
        <v>126</v>
      </c>
      <c r="N15" s="3"/>
      <c r="O15" s="3"/>
    </row>
    <row x14ac:dyDescent="0.25" r="16" customHeight="1" ht="18.75">
      <c r="A16" s="32" t="s">
        <v>178</v>
      </c>
      <c r="B16" s="32" t="s">
        <v>179</v>
      </c>
      <c r="C16" s="33">
        <v>10042</v>
      </c>
      <c r="D16" s="32" t="s">
        <v>141</v>
      </c>
      <c r="E16" s="33">
        <v>0</v>
      </c>
      <c r="F16" s="32" t="s">
        <v>180</v>
      </c>
      <c r="G16" s="33">
        <v>30</v>
      </c>
      <c r="H16" s="32" t="s">
        <v>147</v>
      </c>
      <c r="I16" s="34">
        <v>74.01</v>
      </c>
      <c r="J16" s="34">
        <f>120*80*11/1000000</f>
      </c>
      <c r="K16" s="33">
        <v>1</v>
      </c>
      <c r="L16" s="22" t="s">
        <v>126</v>
      </c>
      <c r="M16" s="22" t="s">
        <v>126</v>
      </c>
      <c r="N16" s="3"/>
      <c r="O16" s="3"/>
    </row>
    <row x14ac:dyDescent="0.25" r="17" customHeight="1" ht="18.75">
      <c r="A17" s="32" t="s">
        <v>181</v>
      </c>
      <c r="B17" s="32" t="s">
        <v>182</v>
      </c>
      <c r="C17" s="33">
        <v>25126</v>
      </c>
      <c r="D17" s="32" t="s">
        <v>141</v>
      </c>
      <c r="E17" s="33">
        <v>0</v>
      </c>
      <c r="F17" s="32" t="s">
        <v>183</v>
      </c>
      <c r="G17" s="33">
        <v>30</v>
      </c>
      <c r="H17" s="32" t="s">
        <v>156</v>
      </c>
      <c r="I17" s="33">
        <v>598</v>
      </c>
      <c r="J17" s="19">
        <f>120*115*120/1000000</f>
      </c>
      <c r="K17" s="33">
        <v>1</v>
      </c>
      <c r="L17" s="22" t="s">
        <v>126</v>
      </c>
      <c r="M17" s="22" t="s">
        <v>126</v>
      </c>
      <c r="N17" s="3"/>
      <c r="O17" s="3"/>
    </row>
    <row x14ac:dyDescent="0.25" r="18" customHeight="1" ht="18.75">
      <c r="A18" s="32" t="s">
        <v>184</v>
      </c>
      <c r="B18" s="32" t="s">
        <v>185</v>
      </c>
      <c r="C18" s="33">
        <v>20884</v>
      </c>
      <c r="D18" s="32" t="s">
        <v>141</v>
      </c>
      <c r="E18" s="33">
        <v>0</v>
      </c>
      <c r="F18" s="32" t="s">
        <v>180</v>
      </c>
      <c r="G18" s="33">
        <v>30</v>
      </c>
      <c r="H18" s="32" t="s">
        <v>186</v>
      </c>
      <c r="I18" s="33">
        <v>2400</v>
      </c>
      <c r="J18" s="34">
        <f>4*100*120*100/1000000</f>
      </c>
      <c r="K18" s="33">
        <v>4</v>
      </c>
      <c r="L18" s="22" t="s">
        <v>126</v>
      </c>
      <c r="M18" s="22" t="s">
        <v>126</v>
      </c>
      <c r="N18" s="3"/>
      <c r="O18" s="3"/>
    </row>
    <row x14ac:dyDescent="0.25" r="19" customHeight="1" ht="18.75">
      <c r="A19" s="32" t="s">
        <v>187</v>
      </c>
      <c r="B19" s="32" t="s">
        <v>188</v>
      </c>
      <c r="C19" s="33">
        <v>28015</v>
      </c>
      <c r="D19" s="32" t="s">
        <v>141</v>
      </c>
      <c r="E19" s="33">
        <v>0</v>
      </c>
      <c r="F19" s="32" t="s">
        <v>150</v>
      </c>
      <c r="G19" s="33">
        <v>30</v>
      </c>
      <c r="H19" s="32" t="s">
        <v>156</v>
      </c>
      <c r="I19" s="33">
        <v>486</v>
      </c>
      <c r="J19" s="19">
        <f>100*80*120/1000000</f>
      </c>
      <c r="K19" s="33">
        <v>1</v>
      </c>
      <c r="L19" s="22" t="s">
        <v>126</v>
      </c>
      <c r="M19" s="22" t="s">
        <v>126</v>
      </c>
      <c r="N19" s="3"/>
      <c r="O19" s="3"/>
    </row>
    <row x14ac:dyDescent="0.25" r="20" customHeight="1" ht="18.75">
      <c r="A20" s="32" t="s">
        <v>189</v>
      </c>
      <c r="B20" s="32" t="s">
        <v>190</v>
      </c>
      <c r="C20" s="33">
        <v>28053</v>
      </c>
      <c r="D20" s="32" t="s">
        <v>141</v>
      </c>
      <c r="E20" s="33">
        <v>0</v>
      </c>
      <c r="F20" s="32" t="s">
        <v>150</v>
      </c>
      <c r="G20" s="33">
        <v>30</v>
      </c>
      <c r="H20" s="32" t="s">
        <v>156</v>
      </c>
      <c r="I20" s="33">
        <v>25</v>
      </c>
      <c r="J20" s="19">
        <f>2*60*20*50/1000000</f>
      </c>
      <c r="K20" s="33">
        <v>2</v>
      </c>
      <c r="L20" s="22" t="s">
        <v>127</v>
      </c>
      <c r="M20" s="22" t="s">
        <v>126</v>
      </c>
      <c r="N20" s="3"/>
      <c r="O20" s="3"/>
    </row>
    <row x14ac:dyDescent="0.25" r="21" customHeight="1" ht="18.75">
      <c r="A21" s="32" t="s">
        <v>191</v>
      </c>
      <c r="B21" s="32" t="s">
        <v>192</v>
      </c>
      <c r="C21" s="33">
        <v>28046</v>
      </c>
      <c r="D21" s="32" t="s">
        <v>141</v>
      </c>
      <c r="E21" s="33">
        <v>0</v>
      </c>
      <c r="F21" s="32" t="s">
        <v>150</v>
      </c>
      <c r="G21" s="33">
        <v>30</v>
      </c>
      <c r="H21" s="32" t="s">
        <v>156</v>
      </c>
      <c r="I21" s="33">
        <v>6000</v>
      </c>
      <c r="J21" s="19">
        <f>6*120*115*120/1000000</f>
      </c>
      <c r="K21" s="33">
        <v>6</v>
      </c>
      <c r="L21" s="22" t="s">
        <v>126</v>
      </c>
      <c r="M21" s="22" t="s">
        <v>126</v>
      </c>
      <c r="N21" s="3"/>
      <c r="O21" s="3"/>
    </row>
    <row x14ac:dyDescent="0.25" r="22" customHeight="1" ht="18.75">
      <c r="A22" s="32" t="s">
        <v>193</v>
      </c>
      <c r="B22" s="32" t="s">
        <v>194</v>
      </c>
      <c r="C22" s="33">
        <v>20129</v>
      </c>
      <c r="D22" s="32" t="s">
        <v>141</v>
      </c>
      <c r="E22" s="33">
        <v>0</v>
      </c>
      <c r="F22" s="32" t="s">
        <v>150</v>
      </c>
      <c r="G22" s="33">
        <v>30</v>
      </c>
      <c r="H22" s="32" t="s">
        <v>186</v>
      </c>
      <c r="I22" s="18">
        <v>600</v>
      </c>
      <c r="J22" s="34">
        <f>6*100*80*120/1000000</f>
      </c>
      <c r="K22" s="33">
        <v>6</v>
      </c>
      <c r="L22" s="22" t="s">
        <v>126</v>
      </c>
      <c r="M22" s="22" t="s">
        <v>126</v>
      </c>
      <c r="N22" s="3"/>
      <c r="O22" s="3"/>
    </row>
    <row x14ac:dyDescent="0.25" r="23" customHeight="1" ht="18.75">
      <c r="A23" s="32" t="s">
        <v>195</v>
      </c>
      <c r="B23" s="32" t="s">
        <v>196</v>
      </c>
      <c r="C23" s="33">
        <v>16043</v>
      </c>
      <c r="D23" s="32" t="s">
        <v>141</v>
      </c>
      <c r="E23" s="33">
        <v>0</v>
      </c>
      <c r="F23" s="32" t="s">
        <v>150</v>
      </c>
      <c r="G23" s="33">
        <v>30</v>
      </c>
      <c r="H23" s="32" t="s">
        <v>156</v>
      </c>
      <c r="I23" s="18">
        <v>600</v>
      </c>
      <c r="J23" s="34">
        <f>6*100*80*120/1000000</f>
      </c>
      <c r="K23" s="33">
        <v>6</v>
      </c>
      <c r="L23" s="22" t="s">
        <v>126</v>
      </c>
      <c r="M23" s="22" t="s">
        <v>126</v>
      </c>
      <c r="N23" s="3"/>
      <c r="O23" s="3"/>
    </row>
    <row x14ac:dyDescent="0.25" r="24" customHeight="1" ht="18.75">
      <c r="A24" s="32" t="s">
        <v>197</v>
      </c>
      <c r="B24" s="32" t="s">
        <v>198</v>
      </c>
      <c r="C24" s="33">
        <v>60021</v>
      </c>
      <c r="D24" s="32" t="s">
        <v>141</v>
      </c>
      <c r="E24" s="33">
        <v>0</v>
      </c>
      <c r="F24" s="32" t="s">
        <v>150</v>
      </c>
      <c r="G24" s="33">
        <v>30</v>
      </c>
      <c r="H24" s="32" t="s">
        <v>156</v>
      </c>
      <c r="I24" s="18">
        <v>150</v>
      </c>
      <c r="J24" s="34">
        <f>2*100*80*120/1000000</f>
      </c>
      <c r="K24" s="33">
        <v>2</v>
      </c>
      <c r="L24" s="22" t="s">
        <v>126</v>
      </c>
      <c r="M24" s="22" t="s">
        <v>126</v>
      </c>
      <c r="N24" s="3"/>
      <c r="O24" s="3"/>
    </row>
    <row x14ac:dyDescent="0.25" r="25" customHeight="1" ht="18.75">
      <c r="A25" s="32" t="s">
        <v>199</v>
      </c>
      <c r="B25" s="32" t="s">
        <v>200</v>
      </c>
      <c r="C25" s="33">
        <v>47895</v>
      </c>
      <c r="D25" s="32" t="s">
        <v>201</v>
      </c>
      <c r="E25" s="33">
        <v>0</v>
      </c>
      <c r="F25" s="32" t="s">
        <v>202</v>
      </c>
      <c r="G25" s="33">
        <v>30</v>
      </c>
      <c r="H25" s="32" t="s">
        <v>186</v>
      </c>
      <c r="I25" s="33">
        <v>520</v>
      </c>
      <c r="J25" s="34">
        <f>(3*(80*120*160)+(80*120*60))/1000000</f>
      </c>
      <c r="K25" s="33">
        <v>4</v>
      </c>
      <c r="L25" s="22" t="s">
        <v>127</v>
      </c>
      <c r="M25" s="32" t="s">
        <v>127</v>
      </c>
      <c r="N25" s="3"/>
      <c r="O25" s="3"/>
    </row>
    <row x14ac:dyDescent="0.25" r="26" customHeight="1" ht="18.75">
      <c r="A26" s="32" t="s">
        <v>203</v>
      </c>
      <c r="B26" s="32" t="s">
        <v>204</v>
      </c>
      <c r="C26" s="33">
        <v>28061</v>
      </c>
      <c r="D26" s="32" t="s">
        <v>141</v>
      </c>
      <c r="E26" s="33">
        <v>0</v>
      </c>
      <c r="F26" s="32" t="s">
        <v>150</v>
      </c>
      <c r="G26" s="33">
        <v>30</v>
      </c>
      <c r="H26" s="32" t="s">
        <v>143</v>
      </c>
      <c r="I26" s="33">
        <v>584</v>
      </c>
      <c r="J26" s="34">
        <f>100*80*120/1000000</f>
      </c>
      <c r="K26" s="33">
        <v>1</v>
      </c>
      <c r="L26" s="22" t="s">
        <v>126</v>
      </c>
      <c r="M26" s="22" t="s">
        <v>126</v>
      </c>
      <c r="N26" s="3"/>
      <c r="O26" s="3"/>
    </row>
    <row x14ac:dyDescent="0.25" r="27" customHeight="1" ht="18.75">
      <c r="A27" s="32" t="s">
        <v>205</v>
      </c>
      <c r="B27" s="32" t="s">
        <v>206</v>
      </c>
      <c r="C27" s="33">
        <v>41012</v>
      </c>
      <c r="D27" s="32" t="s">
        <v>141</v>
      </c>
      <c r="E27" s="33">
        <v>0</v>
      </c>
      <c r="F27" s="32" t="s">
        <v>150</v>
      </c>
      <c r="G27" s="33">
        <v>30</v>
      </c>
      <c r="H27" s="32" t="s">
        <v>186</v>
      </c>
      <c r="I27" s="34">
        <v>517.86</v>
      </c>
      <c r="J27" s="34">
        <v>2.95</v>
      </c>
      <c r="K27" s="18">
        <v>1</v>
      </c>
      <c r="L27" s="22" t="s">
        <v>126</v>
      </c>
      <c r="M27" s="22" t="s">
        <v>126</v>
      </c>
      <c r="N27" s="3"/>
      <c r="O27" s="3"/>
    </row>
    <row x14ac:dyDescent="0.25" r="28" customHeight="1" ht="18.75">
      <c r="A28" s="32" t="s">
        <v>207</v>
      </c>
      <c r="B28" s="32" t="s">
        <v>208</v>
      </c>
      <c r="C28" s="33">
        <v>43029</v>
      </c>
      <c r="D28" s="32" t="s">
        <v>141</v>
      </c>
      <c r="E28" s="33">
        <v>0</v>
      </c>
      <c r="F28" s="32" t="s">
        <v>150</v>
      </c>
      <c r="G28" s="33">
        <v>30</v>
      </c>
      <c r="H28" s="32" t="s">
        <v>186</v>
      </c>
      <c r="I28" s="33">
        <v>2719</v>
      </c>
      <c r="J28" s="34">
        <v>7.602</v>
      </c>
      <c r="K28" s="33">
        <v>10</v>
      </c>
      <c r="L28" s="22" t="s">
        <v>127</v>
      </c>
      <c r="M28" s="22" t="s">
        <v>126</v>
      </c>
      <c r="N28" s="3"/>
      <c r="O28" s="3"/>
    </row>
    <row x14ac:dyDescent="0.25" r="29" customHeight="1" ht="18.75">
      <c r="A29" s="32" t="s">
        <v>209</v>
      </c>
      <c r="B29" s="32" t="s">
        <v>210</v>
      </c>
      <c r="C29" s="33">
        <v>34126</v>
      </c>
      <c r="D29" s="32" t="s">
        <v>141</v>
      </c>
      <c r="E29" s="33">
        <v>0</v>
      </c>
      <c r="F29" s="32" t="s">
        <v>150</v>
      </c>
      <c r="G29" s="33">
        <v>30</v>
      </c>
      <c r="H29" s="32" t="s">
        <v>143</v>
      </c>
      <c r="I29" s="33">
        <v>10000</v>
      </c>
      <c r="J29" s="33">
        <v>12</v>
      </c>
      <c r="K29" s="33">
        <v>15</v>
      </c>
      <c r="L29" s="22" t="s">
        <v>126</v>
      </c>
      <c r="M29" s="22" t="s">
        <v>126</v>
      </c>
      <c r="N29" s="3"/>
      <c r="O29" s="3"/>
    </row>
    <row x14ac:dyDescent="0.25" r="30" customHeight="1" ht="18.75">
      <c r="A30" s="32" t="s">
        <v>211</v>
      </c>
      <c r="B30" s="32" t="s">
        <v>212</v>
      </c>
      <c r="C30" s="33">
        <v>33036</v>
      </c>
      <c r="D30" s="32" t="s">
        <v>141</v>
      </c>
      <c r="E30" s="33">
        <v>0</v>
      </c>
      <c r="F30" s="32" t="s">
        <v>150</v>
      </c>
      <c r="G30" s="33">
        <v>30</v>
      </c>
      <c r="H30" s="32" t="s">
        <v>186</v>
      </c>
      <c r="I30" s="33">
        <v>1328</v>
      </c>
      <c r="J30" s="19">
        <f>(9*(100*120*160)+ 4*(100*120*130))/1000000</f>
      </c>
      <c r="K30" s="33">
        <v>8</v>
      </c>
      <c r="L30" s="22" t="s">
        <v>127</v>
      </c>
      <c r="M30" s="22" t="s">
        <v>126</v>
      </c>
      <c r="N30" s="3"/>
      <c r="O30" s="3"/>
    </row>
    <row x14ac:dyDescent="0.25" r="31" customHeight="1" ht="18.75">
      <c r="A31" s="32" t="s">
        <v>213</v>
      </c>
      <c r="B31" s="32" t="s">
        <v>214</v>
      </c>
      <c r="C31" s="33">
        <v>33036</v>
      </c>
      <c r="D31" s="32" t="s">
        <v>141</v>
      </c>
      <c r="E31" s="33">
        <v>0</v>
      </c>
      <c r="F31" s="32" t="s">
        <v>150</v>
      </c>
      <c r="G31" s="33">
        <v>30</v>
      </c>
      <c r="H31" s="32" t="s">
        <v>186</v>
      </c>
      <c r="I31" s="33">
        <v>10</v>
      </c>
      <c r="J31" s="34">
        <v>0.018</v>
      </c>
      <c r="K31" s="33">
        <v>1</v>
      </c>
      <c r="L31" s="22" t="s">
        <v>126</v>
      </c>
      <c r="M31" s="22" t="s">
        <v>126</v>
      </c>
      <c r="N31" s="3"/>
      <c r="O31" s="3"/>
    </row>
    <row x14ac:dyDescent="0.25" r="32" customHeight="1" ht="18.75">
      <c r="A32" s="32" t="s">
        <v>215</v>
      </c>
      <c r="B32" s="32" t="s">
        <v>216</v>
      </c>
      <c r="C32" s="33">
        <v>12100</v>
      </c>
      <c r="D32" s="32" t="s">
        <v>141</v>
      </c>
      <c r="E32" s="33">
        <v>0</v>
      </c>
      <c r="F32" s="32" t="s">
        <v>150</v>
      </c>
      <c r="G32" s="33">
        <v>30</v>
      </c>
      <c r="H32" s="32" t="s">
        <v>143</v>
      </c>
      <c r="I32" s="33">
        <v>2447</v>
      </c>
      <c r="J32" s="19">
        <f>(9*(100*120*160)+ 4*(100*120*130))/1000000</f>
      </c>
      <c r="K32" s="33">
        <v>6</v>
      </c>
      <c r="L32" s="22" t="s">
        <v>126</v>
      </c>
      <c r="M32" s="22" t="s">
        <v>126</v>
      </c>
      <c r="N32" s="3"/>
      <c r="O32" s="3"/>
    </row>
    <row x14ac:dyDescent="0.25" r="33" customHeight="1" ht="18.75">
      <c r="A33" s="32" t="s">
        <v>217</v>
      </c>
      <c r="B33" s="32" t="s">
        <v>218</v>
      </c>
      <c r="C33" s="33">
        <v>14040</v>
      </c>
      <c r="D33" s="32" t="s">
        <v>141</v>
      </c>
      <c r="E33" s="33">
        <v>0</v>
      </c>
      <c r="F33" s="32" t="s">
        <v>219</v>
      </c>
      <c r="G33" s="33">
        <v>30</v>
      </c>
      <c r="H33" s="32" t="s">
        <v>186</v>
      </c>
      <c r="I33" s="33">
        <v>1000</v>
      </c>
      <c r="J33" s="19">
        <f>2.06*2.3*4.6</f>
      </c>
      <c r="K33" s="18">
        <v>10</v>
      </c>
      <c r="L33" s="22" t="s">
        <v>126</v>
      </c>
      <c r="M33" s="22" t="s">
        <v>126</v>
      </c>
      <c r="N33" s="3"/>
      <c r="O33" s="3"/>
    </row>
    <row x14ac:dyDescent="0.25" r="34" customHeight="1" ht="18.75">
      <c r="A34" s="32" t="s">
        <v>220</v>
      </c>
      <c r="B34" s="32" t="s">
        <v>221</v>
      </c>
      <c r="C34" s="33">
        <v>10040</v>
      </c>
      <c r="D34" s="32" t="s">
        <v>141</v>
      </c>
      <c r="E34" s="33">
        <v>0</v>
      </c>
      <c r="F34" s="32" t="s">
        <v>150</v>
      </c>
      <c r="G34" s="33">
        <v>30</v>
      </c>
      <c r="H34" s="32" t="s">
        <v>156</v>
      </c>
      <c r="I34" s="19">
        <v>6675.74</v>
      </c>
      <c r="J34" s="19">
        <f>(9*(100*120*160)+ 4*(100*120*130))/1000000</f>
      </c>
      <c r="K34" s="33">
        <v>13</v>
      </c>
      <c r="L34" s="22" t="s">
        <v>126</v>
      </c>
      <c r="M34" s="22" t="s">
        <v>126</v>
      </c>
      <c r="N34" s="3"/>
      <c r="O34" s="3"/>
    </row>
    <row x14ac:dyDescent="0.25" r="35" customHeight="1" ht="18.75">
      <c r="A35" s="32" t="s">
        <v>222</v>
      </c>
      <c r="B35" s="32" t="s">
        <v>223</v>
      </c>
      <c r="C35" s="33">
        <v>10020</v>
      </c>
      <c r="D35" s="32" t="s">
        <v>141</v>
      </c>
      <c r="E35" s="33">
        <v>0</v>
      </c>
      <c r="F35" s="32" t="s">
        <v>150</v>
      </c>
      <c r="G35" s="33">
        <v>30</v>
      </c>
      <c r="H35" s="32" t="s">
        <v>143</v>
      </c>
      <c r="I35" s="18">
        <v>486</v>
      </c>
      <c r="J35" s="19">
        <f>100*80*120/1000000</f>
      </c>
      <c r="K35" s="33">
        <v>1</v>
      </c>
      <c r="L35" s="22" t="s">
        <v>126</v>
      </c>
      <c r="M35" s="22" t="s">
        <v>126</v>
      </c>
      <c r="N35" s="3"/>
      <c r="O35" s="3"/>
    </row>
    <row x14ac:dyDescent="0.25" r="36" customHeight="1" ht="18.75">
      <c r="A36" s="32" t="s">
        <v>224</v>
      </c>
      <c r="B36" s="32" t="s">
        <v>225</v>
      </c>
      <c r="C36" s="33">
        <v>15076</v>
      </c>
      <c r="D36" s="32" t="s">
        <v>141</v>
      </c>
      <c r="E36" s="33">
        <v>0</v>
      </c>
      <c r="F36" s="32" t="s">
        <v>150</v>
      </c>
      <c r="G36" s="33">
        <v>30</v>
      </c>
      <c r="H36" s="32" t="s">
        <v>143</v>
      </c>
      <c r="I36" s="33">
        <v>4053</v>
      </c>
      <c r="J36" s="34">
        <v>1.54</v>
      </c>
      <c r="K36" s="33">
        <v>2</v>
      </c>
      <c r="L36" s="22" t="s">
        <v>126</v>
      </c>
      <c r="M36" s="22" t="s">
        <v>126</v>
      </c>
      <c r="N36" s="3"/>
      <c r="O36" s="3"/>
    </row>
    <row x14ac:dyDescent="0.25" r="37" customHeight="1" ht="18.75">
      <c r="A37" s="32" t="s">
        <v>226</v>
      </c>
      <c r="B37" s="32" t="s">
        <v>227</v>
      </c>
      <c r="C37" s="33">
        <v>33043</v>
      </c>
      <c r="D37" s="32" t="s">
        <v>141</v>
      </c>
      <c r="E37" s="33">
        <v>1</v>
      </c>
      <c r="F37" s="32" t="s">
        <v>150</v>
      </c>
      <c r="G37" s="33">
        <v>30</v>
      </c>
      <c r="H37" s="32" t="s">
        <v>143</v>
      </c>
      <c r="I37" s="33">
        <f>4*600+400</f>
      </c>
      <c r="J37" s="19">
        <f>5*100*120*80/1000000</f>
      </c>
      <c r="K37" s="33">
        <v>5</v>
      </c>
      <c r="L37" s="22" t="s">
        <v>126</v>
      </c>
      <c r="M37" s="22" t="s">
        <v>126</v>
      </c>
      <c r="N37" s="3"/>
      <c r="O37" s="3"/>
    </row>
    <row x14ac:dyDescent="0.25" r="38" customHeight="1" ht="18.75">
      <c r="A38" s="32" t="s">
        <v>228</v>
      </c>
      <c r="B38" s="32" t="s">
        <v>229</v>
      </c>
      <c r="C38" s="33">
        <v>20044</v>
      </c>
      <c r="D38" s="32" t="s">
        <v>141</v>
      </c>
      <c r="E38" s="33">
        <v>0</v>
      </c>
      <c r="F38" s="32" t="s">
        <v>150</v>
      </c>
      <c r="G38" s="33">
        <v>30</v>
      </c>
      <c r="H38" s="32" t="s">
        <v>143</v>
      </c>
      <c r="I38" s="19">
        <v>6675.74</v>
      </c>
      <c r="J38" s="19">
        <f>(9*(100*120*160)+ 4*(100*120*130))/1000000</f>
      </c>
      <c r="K38" s="33">
        <v>13</v>
      </c>
      <c r="L38" s="22" t="s">
        <v>126</v>
      </c>
      <c r="M38" s="22" t="s">
        <v>126</v>
      </c>
      <c r="N38" s="3"/>
      <c r="O38" s="3"/>
    </row>
    <row x14ac:dyDescent="0.25" r="39" customHeight="1" ht="18.75">
      <c r="A39" s="32" t="s">
        <v>230</v>
      </c>
      <c r="B39" s="32" t="s">
        <v>231</v>
      </c>
      <c r="C39" s="33">
        <v>20143</v>
      </c>
      <c r="D39" s="32" t="s">
        <v>141</v>
      </c>
      <c r="E39" s="33">
        <v>0</v>
      </c>
      <c r="F39" s="32" t="s">
        <v>232</v>
      </c>
      <c r="G39" s="33">
        <v>30</v>
      </c>
      <c r="H39" s="32" t="s">
        <v>143</v>
      </c>
      <c r="I39" s="33">
        <v>3400</v>
      </c>
      <c r="J39" s="19">
        <f>100*80*120/1000000</f>
      </c>
      <c r="K39" s="33">
        <v>1</v>
      </c>
      <c r="L39" s="22" t="s">
        <v>127</v>
      </c>
      <c r="M39" s="22" t="s">
        <v>126</v>
      </c>
      <c r="N39" s="3"/>
      <c r="O39" s="3"/>
    </row>
    <row x14ac:dyDescent="0.25" r="40" customHeight="1" ht="18.75">
      <c r="A40" s="32" t="s">
        <v>233</v>
      </c>
      <c r="B40" s="32" t="s">
        <v>234</v>
      </c>
      <c r="C40" s="33">
        <v>20093</v>
      </c>
      <c r="D40" s="32" t="s">
        <v>141</v>
      </c>
      <c r="E40" s="33">
        <v>0</v>
      </c>
      <c r="F40" s="32" t="s">
        <v>150</v>
      </c>
      <c r="G40" s="33">
        <v>30</v>
      </c>
      <c r="H40" s="32" t="s">
        <v>143</v>
      </c>
      <c r="I40" s="33">
        <v>5064</v>
      </c>
      <c r="J40" s="19">
        <f>3*100*80*120/1000000</f>
      </c>
      <c r="K40" s="33">
        <v>3</v>
      </c>
      <c r="L40" s="22" t="s">
        <v>127</v>
      </c>
      <c r="M40" s="22" t="s">
        <v>126</v>
      </c>
      <c r="N40" s="3"/>
      <c r="O40" s="3"/>
    </row>
    <row x14ac:dyDescent="0.25" r="41" customHeight="1" ht="18.75">
      <c r="A41" s="32" t="s">
        <v>235</v>
      </c>
      <c r="B41" s="32" t="s">
        <v>236</v>
      </c>
      <c r="C41" s="33">
        <v>21050</v>
      </c>
      <c r="D41" s="32" t="s">
        <v>141</v>
      </c>
      <c r="E41" s="33">
        <v>0</v>
      </c>
      <c r="F41" s="32" t="s">
        <v>202</v>
      </c>
      <c r="G41" s="33">
        <v>30</v>
      </c>
      <c r="H41" s="32" t="s">
        <v>186</v>
      </c>
      <c r="I41" s="33">
        <v>298</v>
      </c>
      <c r="J41" s="34">
        <f>100*120*160/1000000</f>
      </c>
      <c r="K41" s="33">
        <v>1</v>
      </c>
      <c r="L41" s="22" t="s">
        <v>127</v>
      </c>
      <c r="M41" s="22" t="s">
        <v>126</v>
      </c>
      <c r="N41" s="3"/>
      <c r="O41" s="3"/>
    </row>
    <row x14ac:dyDescent="0.25" r="42" customHeight="1" ht="18.75">
      <c r="A42" s="32" t="s">
        <v>237</v>
      </c>
      <c r="B42" s="32" t="s">
        <v>238</v>
      </c>
      <c r="C42" s="33">
        <v>20060</v>
      </c>
      <c r="D42" s="32" t="s">
        <v>141</v>
      </c>
      <c r="E42" s="33">
        <v>1</v>
      </c>
      <c r="F42" s="32" t="s">
        <v>150</v>
      </c>
      <c r="G42" s="33">
        <v>30</v>
      </c>
      <c r="H42" s="32" t="s">
        <v>156</v>
      </c>
      <c r="I42" s="33">
        <v>298</v>
      </c>
      <c r="J42" s="34">
        <f>100*120*161/1000000</f>
      </c>
      <c r="K42" s="33">
        <v>1</v>
      </c>
      <c r="L42" s="22" t="s">
        <v>127</v>
      </c>
      <c r="M42" s="22" t="s">
        <v>126</v>
      </c>
      <c r="N42" s="3"/>
      <c r="O42" s="3"/>
    </row>
    <row x14ac:dyDescent="0.25" r="43" customHeight="1" ht="18.75">
      <c r="A43" s="32" t="s">
        <v>239</v>
      </c>
      <c r="B43" s="32" t="s">
        <v>240</v>
      </c>
      <c r="C43" s="33">
        <v>41019</v>
      </c>
      <c r="D43" s="32" t="s">
        <v>141</v>
      </c>
      <c r="E43" s="33">
        <v>0</v>
      </c>
      <c r="F43" s="32" t="s">
        <v>150</v>
      </c>
      <c r="G43" s="33">
        <v>30</v>
      </c>
      <c r="H43" s="32" t="s">
        <v>156</v>
      </c>
      <c r="I43" s="33">
        <v>400</v>
      </c>
      <c r="J43" s="19">
        <v>2.5</v>
      </c>
      <c r="K43" s="33">
        <v>2</v>
      </c>
      <c r="L43" s="22" t="s">
        <v>126</v>
      </c>
      <c r="M43" s="22" t="s">
        <v>126</v>
      </c>
      <c r="N43" s="3"/>
      <c r="O43" s="3"/>
    </row>
    <row x14ac:dyDescent="0.25" r="44" customHeight="1" ht="18.75">
      <c r="A44" s="32"/>
      <c r="B44" s="32"/>
      <c r="C44" s="33"/>
      <c r="D44" s="32"/>
      <c r="E44" s="33"/>
      <c r="F44" s="32"/>
      <c r="G44" s="35"/>
      <c r="H44" s="32"/>
      <c r="I44" s="35"/>
      <c r="J44" s="36"/>
      <c r="K44" s="35"/>
      <c r="L44" s="37"/>
      <c r="M44" s="37"/>
      <c r="N44" s="3"/>
      <c r="O44" s="3"/>
    </row>
    <row x14ac:dyDescent="0.25" r="45" customHeight="1" ht="18.75">
      <c r="A45" s="37"/>
      <c r="B45" s="37"/>
      <c r="C45" s="35"/>
      <c r="D45" s="37"/>
      <c r="E45" s="35"/>
      <c r="F45" s="37"/>
      <c r="G45" s="35"/>
      <c r="H45" s="37"/>
      <c r="I45" s="35"/>
      <c r="J45" s="36"/>
      <c r="K45" s="35"/>
      <c r="L45" s="37"/>
      <c r="M45" s="37"/>
      <c r="N45" s="3"/>
      <c r="O45" s="3"/>
    </row>
    <row x14ac:dyDescent="0.25" r="46" customHeight="1" ht="18.75">
      <c r="A46" s="37"/>
      <c r="B46" s="37"/>
      <c r="C46" s="35"/>
      <c r="D46" s="37"/>
      <c r="E46" s="35"/>
      <c r="F46" s="37"/>
      <c r="G46" s="35"/>
      <c r="H46" s="37"/>
      <c r="I46" s="35"/>
      <c r="J46" s="36"/>
      <c r="K46" s="35"/>
      <c r="L46" s="37"/>
      <c r="M46" s="37"/>
      <c r="N46" s="3"/>
      <c r="O46" s="3"/>
    </row>
    <row x14ac:dyDescent="0.25" r="47" customHeight="1" ht="18.75">
      <c r="A47" s="37"/>
      <c r="B47" s="37"/>
      <c r="C47" s="35"/>
      <c r="D47" s="37"/>
      <c r="E47" s="35"/>
      <c r="F47" s="37"/>
      <c r="G47" s="35"/>
      <c r="H47" s="37"/>
      <c r="I47" s="35"/>
      <c r="J47" s="36"/>
      <c r="K47" s="35"/>
      <c r="L47" s="37"/>
      <c r="M47" s="37"/>
      <c r="N47" s="3"/>
      <c r="O47" s="3"/>
    </row>
    <row x14ac:dyDescent="0.25" r="48" customHeight="1" ht="18.75">
      <c r="A48" s="37"/>
      <c r="B48" s="37"/>
      <c r="C48" s="35"/>
      <c r="D48" s="37"/>
      <c r="E48" s="35"/>
      <c r="F48" s="37"/>
      <c r="G48" s="35"/>
      <c r="H48" s="37"/>
      <c r="I48" s="35"/>
      <c r="J48" s="36"/>
      <c r="K48" s="35"/>
      <c r="L48" s="37"/>
      <c r="M48" s="37"/>
      <c r="N48" s="3"/>
      <c r="O48" s="3"/>
    </row>
    <row x14ac:dyDescent="0.25" r="49" customHeight="1" ht="18.75">
      <c r="A49" s="37"/>
      <c r="B49" s="37"/>
      <c r="C49" s="35"/>
      <c r="D49" s="37"/>
      <c r="E49" s="35"/>
      <c r="F49" s="37"/>
      <c r="G49" s="35"/>
      <c r="H49" s="37"/>
      <c r="I49" s="35"/>
      <c r="J49" s="36"/>
      <c r="K49" s="35"/>
      <c r="L49" s="37"/>
      <c r="M49" s="37"/>
      <c r="N49" s="3"/>
      <c r="O49" s="3"/>
    </row>
    <row x14ac:dyDescent="0.25" r="50" customHeight="1" ht="18.75">
      <c r="A50" s="37"/>
      <c r="B50" s="37"/>
      <c r="C50" s="35"/>
      <c r="D50" s="37"/>
      <c r="E50" s="35"/>
      <c r="F50" s="37"/>
      <c r="G50" s="35"/>
      <c r="H50" s="37"/>
      <c r="I50" s="35"/>
      <c r="J50" s="36"/>
      <c r="K50" s="35"/>
      <c r="L50" s="37"/>
      <c r="M50" s="37"/>
      <c r="N50" s="3"/>
      <c r="O50" s="3"/>
    </row>
    <row x14ac:dyDescent="0.25" r="51" customHeight="1" ht="18.75">
      <c r="A51" s="37"/>
      <c r="B51" s="37"/>
      <c r="C51" s="35"/>
      <c r="D51" s="37"/>
      <c r="E51" s="35"/>
      <c r="F51" s="37"/>
      <c r="G51" s="35"/>
      <c r="H51" s="37"/>
      <c r="I51" s="35"/>
      <c r="J51" s="36"/>
      <c r="K51" s="35"/>
      <c r="L51" s="37"/>
      <c r="M51" s="37"/>
      <c r="N51" s="3"/>
      <c r="O51" s="3"/>
    </row>
    <row x14ac:dyDescent="0.25" r="52" customHeight="1" ht="18.75">
      <c r="A52" s="37"/>
      <c r="B52" s="37"/>
      <c r="C52" s="35"/>
      <c r="D52" s="37"/>
      <c r="E52" s="35"/>
      <c r="F52" s="37"/>
      <c r="G52" s="35"/>
      <c r="H52" s="37"/>
      <c r="I52" s="35"/>
      <c r="J52" s="36"/>
      <c r="K52" s="35"/>
      <c r="L52" s="37"/>
      <c r="M52" s="37"/>
      <c r="N52" s="3"/>
      <c r="O52" s="3"/>
    </row>
    <row x14ac:dyDescent="0.25" r="53" customHeight="1" ht="18.75">
      <c r="A53" s="37"/>
      <c r="B53" s="37"/>
      <c r="C53" s="35"/>
      <c r="D53" s="37"/>
      <c r="E53" s="35"/>
      <c r="F53" s="37"/>
      <c r="G53" s="35"/>
      <c r="H53" s="37"/>
      <c r="I53" s="35"/>
      <c r="J53" s="36"/>
      <c r="K53" s="35"/>
      <c r="L53" s="37"/>
      <c r="M53" s="37"/>
      <c r="N53" s="3"/>
      <c r="O53" s="3"/>
    </row>
    <row x14ac:dyDescent="0.25" r="54" customHeight="1" ht="18.75">
      <c r="A54" s="37"/>
      <c r="B54" s="37"/>
      <c r="C54" s="35"/>
      <c r="D54" s="37"/>
      <c r="E54" s="35"/>
      <c r="F54" s="37"/>
      <c r="G54" s="35"/>
      <c r="H54" s="37"/>
      <c r="I54" s="35"/>
      <c r="J54" s="36"/>
      <c r="K54" s="35"/>
      <c r="L54" s="37"/>
      <c r="M54" s="37"/>
      <c r="N54" s="3"/>
      <c r="O54" s="3"/>
    </row>
    <row x14ac:dyDescent="0.25" r="55" customHeight="1" ht="18.75">
      <c r="A55" s="37"/>
      <c r="B55" s="37"/>
      <c r="C55" s="35"/>
      <c r="D55" s="37"/>
      <c r="E55" s="35"/>
      <c r="F55" s="37"/>
      <c r="G55" s="35"/>
      <c r="H55" s="37"/>
      <c r="I55" s="35"/>
      <c r="J55" s="36"/>
      <c r="K55" s="35"/>
      <c r="L55" s="37"/>
      <c r="M55" s="37"/>
      <c r="N55" s="3"/>
      <c r="O55" s="3"/>
    </row>
    <row x14ac:dyDescent="0.25" r="56" customHeight="1" ht="18.75">
      <c r="A56" s="37"/>
      <c r="B56" s="37"/>
      <c r="C56" s="35"/>
      <c r="D56" s="37"/>
      <c r="E56" s="35"/>
      <c r="F56" s="37"/>
      <c r="G56" s="35"/>
      <c r="H56" s="37"/>
      <c r="I56" s="35"/>
      <c r="J56" s="36"/>
      <c r="K56" s="35"/>
      <c r="L56" s="37"/>
      <c r="M56" s="37"/>
      <c r="N56" s="3"/>
      <c r="O56" s="3"/>
    </row>
    <row x14ac:dyDescent="0.25" r="57" customHeight="1" ht="18.75">
      <c r="A57" s="37"/>
      <c r="B57" s="37"/>
      <c r="C57" s="35"/>
      <c r="D57" s="37"/>
      <c r="E57" s="35"/>
      <c r="F57" s="37"/>
      <c r="G57" s="35"/>
      <c r="H57" s="37"/>
      <c r="I57" s="35"/>
      <c r="J57" s="36"/>
      <c r="K57" s="35"/>
      <c r="L57" s="37"/>
      <c r="M57" s="37"/>
      <c r="N57" s="3"/>
      <c r="O57" s="3"/>
    </row>
    <row x14ac:dyDescent="0.25" r="58" customHeight="1" ht="18.75">
      <c r="A58" s="37"/>
      <c r="B58" s="37"/>
      <c r="C58" s="35"/>
      <c r="D58" s="37"/>
      <c r="E58" s="35"/>
      <c r="F58" s="37"/>
      <c r="G58" s="35"/>
      <c r="H58" s="37"/>
      <c r="I58" s="35"/>
      <c r="J58" s="36"/>
      <c r="K58" s="35"/>
      <c r="L58" s="37"/>
      <c r="M58" s="37"/>
      <c r="N58" s="3"/>
      <c r="O58" s="3"/>
    </row>
    <row x14ac:dyDescent="0.25" r="59" customHeight="1" ht="18.75">
      <c r="A59" s="37"/>
      <c r="B59" s="37"/>
      <c r="C59" s="35"/>
      <c r="D59" s="37"/>
      <c r="E59" s="35"/>
      <c r="F59" s="37"/>
      <c r="G59" s="35"/>
      <c r="H59" s="37"/>
      <c r="I59" s="35"/>
      <c r="J59" s="36"/>
      <c r="K59" s="35"/>
      <c r="L59" s="37"/>
      <c r="M59" s="37"/>
      <c r="N59" s="3"/>
      <c r="O59" s="3"/>
    </row>
    <row x14ac:dyDescent="0.25" r="60" customHeight="1" ht="18.75">
      <c r="A60" s="37"/>
      <c r="B60" s="37"/>
      <c r="C60" s="35"/>
      <c r="D60" s="37"/>
      <c r="E60" s="35"/>
      <c r="F60" s="37"/>
      <c r="G60" s="35"/>
      <c r="H60" s="37"/>
      <c r="I60" s="35"/>
      <c r="J60" s="36"/>
      <c r="K60" s="35"/>
      <c r="L60" s="37"/>
      <c r="M60" s="37"/>
      <c r="N60" s="3"/>
      <c r="O60" s="3"/>
    </row>
    <row x14ac:dyDescent="0.25" r="61" customHeight="1" ht="18.75">
      <c r="A61" s="37"/>
      <c r="B61" s="37"/>
      <c r="C61" s="35"/>
      <c r="D61" s="37"/>
      <c r="E61" s="35"/>
      <c r="F61" s="37"/>
      <c r="G61" s="35"/>
      <c r="H61" s="37"/>
      <c r="I61" s="35"/>
      <c r="J61" s="36"/>
      <c r="K61" s="35"/>
      <c r="L61" s="37"/>
      <c r="M61" s="37"/>
      <c r="N61" s="3"/>
      <c r="O61" s="3"/>
    </row>
    <row x14ac:dyDescent="0.25" r="62" customHeight="1" ht="18.75">
      <c r="A62" s="37"/>
      <c r="B62" s="37"/>
      <c r="C62" s="35"/>
      <c r="D62" s="37"/>
      <c r="E62" s="35"/>
      <c r="F62" s="37"/>
      <c r="G62" s="35"/>
      <c r="H62" s="37"/>
      <c r="I62" s="35"/>
      <c r="J62" s="36"/>
      <c r="K62" s="35"/>
      <c r="L62" s="37"/>
      <c r="M62" s="37"/>
      <c r="N62" s="3"/>
      <c r="O62" s="3"/>
    </row>
    <row x14ac:dyDescent="0.25" r="63" customHeight="1" ht="18.75">
      <c r="A63" s="37"/>
      <c r="B63" s="37"/>
      <c r="C63" s="35"/>
      <c r="D63" s="37"/>
      <c r="E63" s="35"/>
      <c r="F63" s="37"/>
      <c r="G63" s="35"/>
      <c r="H63" s="37"/>
      <c r="I63" s="35"/>
      <c r="J63" s="36"/>
      <c r="K63" s="35"/>
      <c r="L63" s="37"/>
      <c r="M63" s="37"/>
      <c r="N63" s="3"/>
      <c r="O63" s="3"/>
    </row>
    <row x14ac:dyDescent="0.25" r="64" customHeight="1" ht="18.75">
      <c r="A64" s="37"/>
      <c r="B64" s="37"/>
      <c r="C64" s="35"/>
      <c r="D64" s="37"/>
      <c r="E64" s="35"/>
      <c r="F64" s="37"/>
      <c r="G64" s="35"/>
      <c r="H64" s="37"/>
      <c r="I64" s="35"/>
      <c r="J64" s="36"/>
      <c r="K64" s="35"/>
      <c r="L64" s="37"/>
      <c r="M64" s="37"/>
      <c r="N64" s="3"/>
      <c r="O64" s="3"/>
    </row>
    <row x14ac:dyDescent="0.25" r="65" customHeight="1" ht="18.75">
      <c r="A65" s="37"/>
      <c r="B65" s="37"/>
      <c r="C65" s="35"/>
      <c r="D65" s="37"/>
      <c r="E65" s="35"/>
      <c r="F65" s="37"/>
      <c r="G65" s="35"/>
      <c r="H65" s="37"/>
      <c r="I65" s="35"/>
      <c r="J65" s="36"/>
      <c r="K65" s="35"/>
      <c r="L65" s="37"/>
      <c r="M65" s="37"/>
      <c r="N65" s="3"/>
      <c r="O65" s="3"/>
    </row>
    <row x14ac:dyDescent="0.25" r="66" customHeight="1" ht="18.75">
      <c r="A66" s="37"/>
      <c r="B66" s="37"/>
      <c r="C66" s="35"/>
      <c r="D66" s="37"/>
      <c r="E66" s="35"/>
      <c r="F66" s="37"/>
      <c r="G66" s="35"/>
      <c r="H66" s="37"/>
      <c r="I66" s="35"/>
      <c r="J66" s="36"/>
      <c r="K66" s="35"/>
      <c r="L66" s="37"/>
      <c r="M66" s="37"/>
      <c r="N66" s="3"/>
      <c r="O66" s="3"/>
    </row>
    <row x14ac:dyDescent="0.25" r="67" customHeight="1" ht="18.75">
      <c r="A67" s="37"/>
      <c r="B67" s="37"/>
      <c r="C67" s="35"/>
      <c r="D67" s="37"/>
      <c r="E67" s="35"/>
      <c r="F67" s="37"/>
      <c r="G67" s="35"/>
      <c r="H67" s="37"/>
      <c r="I67" s="35"/>
      <c r="J67" s="36"/>
      <c r="K67" s="35"/>
      <c r="L67" s="37"/>
      <c r="M67" s="37"/>
      <c r="N67" s="3"/>
      <c r="O67" s="3"/>
    </row>
    <row x14ac:dyDescent="0.25" r="68" customHeight="1" ht="18.75">
      <c r="A68" s="37"/>
      <c r="B68" s="37"/>
      <c r="C68" s="35"/>
      <c r="D68" s="37"/>
      <c r="E68" s="35"/>
      <c r="F68" s="37"/>
      <c r="G68" s="35"/>
      <c r="H68" s="37"/>
      <c r="I68" s="35"/>
      <c r="J68" s="36"/>
      <c r="K68" s="35"/>
      <c r="L68" s="37"/>
      <c r="M68" s="37"/>
      <c r="N68" s="3"/>
      <c r="O68" s="3"/>
    </row>
    <row x14ac:dyDescent="0.25" r="69" customHeight="1" ht="18.75">
      <c r="A69" s="37"/>
      <c r="B69" s="37"/>
      <c r="C69" s="35"/>
      <c r="D69" s="37"/>
      <c r="E69" s="35"/>
      <c r="F69" s="37"/>
      <c r="G69" s="35"/>
      <c r="H69" s="37"/>
      <c r="I69" s="35"/>
      <c r="J69" s="36"/>
      <c r="K69" s="35"/>
      <c r="L69" s="37"/>
      <c r="M69" s="37"/>
      <c r="N69" s="3"/>
      <c r="O69" s="3"/>
    </row>
    <row x14ac:dyDescent="0.25" r="70" customHeight="1" ht="18.75">
      <c r="A70" s="37"/>
      <c r="B70" s="37"/>
      <c r="C70" s="35"/>
      <c r="D70" s="37"/>
      <c r="E70" s="35"/>
      <c r="F70" s="37"/>
      <c r="G70" s="35"/>
      <c r="H70" s="37"/>
      <c r="I70" s="35"/>
      <c r="J70" s="36"/>
      <c r="K70" s="35"/>
      <c r="L70" s="37"/>
      <c r="M70" s="37"/>
      <c r="N70" s="3"/>
      <c r="O70" s="3"/>
    </row>
    <row x14ac:dyDescent="0.25" r="71" customHeight="1" ht="18.75">
      <c r="A71" s="37"/>
      <c r="B71" s="37"/>
      <c r="C71" s="35"/>
      <c r="D71" s="37"/>
      <c r="E71" s="35"/>
      <c r="F71" s="37"/>
      <c r="G71" s="35"/>
      <c r="H71" s="37"/>
      <c r="I71" s="35"/>
      <c r="J71" s="36"/>
      <c r="K71" s="35"/>
      <c r="L71" s="37"/>
      <c r="M71" s="37"/>
      <c r="N71" s="3"/>
      <c r="O71" s="3"/>
    </row>
    <row x14ac:dyDescent="0.25" r="72" customHeight="1" ht="18.75">
      <c r="A72" s="37"/>
      <c r="B72" s="37"/>
      <c r="C72" s="35"/>
      <c r="D72" s="37"/>
      <c r="E72" s="35"/>
      <c r="F72" s="37"/>
      <c r="G72" s="35"/>
      <c r="H72" s="37"/>
      <c r="I72" s="35"/>
      <c r="J72" s="36"/>
      <c r="K72" s="35"/>
      <c r="L72" s="37"/>
      <c r="M72" s="37"/>
      <c r="N72" s="3"/>
      <c r="O72" s="3"/>
    </row>
    <row x14ac:dyDescent="0.25" r="73" customHeight="1" ht="18.75">
      <c r="A73" s="37"/>
      <c r="B73" s="37"/>
      <c r="C73" s="35"/>
      <c r="D73" s="37"/>
      <c r="E73" s="35"/>
      <c r="F73" s="37"/>
      <c r="G73" s="35"/>
      <c r="H73" s="37"/>
      <c r="I73" s="35"/>
      <c r="J73" s="36"/>
      <c r="K73" s="35"/>
      <c r="L73" s="37"/>
      <c r="M73" s="37"/>
      <c r="N73" s="3"/>
      <c r="O73" s="3"/>
    </row>
    <row x14ac:dyDescent="0.25" r="74" customHeight="1" ht="18.75">
      <c r="A74" s="37"/>
      <c r="B74" s="37"/>
      <c r="C74" s="35"/>
      <c r="D74" s="37"/>
      <c r="E74" s="35"/>
      <c r="F74" s="37"/>
      <c r="G74" s="35"/>
      <c r="H74" s="37"/>
      <c r="I74" s="35"/>
      <c r="J74" s="36"/>
      <c r="K74" s="35"/>
      <c r="L74" s="37"/>
      <c r="M74" s="37"/>
      <c r="N74" s="3"/>
      <c r="O74" s="3"/>
    </row>
    <row x14ac:dyDescent="0.25" r="75" customHeight="1" ht="18.75">
      <c r="A75" s="37"/>
      <c r="B75" s="37"/>
      <c r="C75" s="35"/>
      <c r="D75" s="37"/>
      <c r="E75" s="35"/>
      <c r="F75" s="37"/>
      <c r="G75" s="35"/>
      <c r="H75" s="37"/>
      <c r="I75" s="35"/>
      <c r="J75" s="36"/>
      <c r="K75" s="35"/>
      <c r="L75" s="37"/>
      <c r="M75" s="37"/>
      <c r="N75" s="3"/>
      <c r="O75" s="3"/>
    </row>
    <row x14ac:dyDescent="0.25" r="76" customHeight="1" ht="18.75">
      <c r="A76" s="37"/>
      <c r="B76" s="37"/>
      <c r="C76" s="35"/>
      <c r="D76" s="37"/>
      <c r="E76" s="35"/>
      <c r="F76" s="37"/>
      <c r="G76" s="35"/>
      <c r="H76" s="37"/>
      <c r="I76" s="35"/>
      <c r="J76" s="36"/>
      <c r="K76" s="35"/>
      <c r="L76" s="37"/>
      <c r="M76" s="37"/>
      <c r="N76" s="3"/>
      <c r="O76" s="3"/>
    </row>
    <row x14ac:dyDescent="0.25" r="77" customHeight="1" ht="18.75">
      <c r="A77" s="37"/>
      <c r="B77" s="37"/>
      <c r="C77" s="35"/>
      <c r="D77" s="37"/>
      <c r="E77" s="35"/>
      <c r="F77" s="37"/>
      <c r="G77" s="35"/>
      <c r="H77" s="37"/>
      <c r="I77" s="35"/>
      <c r="J77" s="36"/>
      <c r="K77" s="35"/>
      <c r="L77" s="37"/>
      <c r="M77" s="37"/>
      <c r="N77" s="3"/>
      <c r="O77" s="3"/>
    </row>
    <row x14ac:dyDescent="0.25" r="78" customHeight="1" ht="18.75">
      <c r="A78" s="37"/>
      <c r="B78" s="37"/>
      <c r="C78" s="35"/>
      <c r="D78" s="37"/>
      <c r="E78" s="35"/>
      <c r="F78" s="37"/>
      <c r="G78" s="35"/>
      <c r="H78" s="37"/>
      <c r="I78" s="35"/>
      <c r="J78" s="36"/>
      <c r="K78" s="35"/>
      <c r="L78" s="37"/>
      <c r="M78" s="37"/>
      <c r="N78" s="3"/>
      <c r="O78" s="3"/>
    </row>
    <row x14ac:dyDescent="0.25" r="79" customHeight="1" ht="18.75">
      <c r="A79" s="37"/>
      <c r="B79" s="37"/>
      <c r="C79" s="35"/>
      <c r="D79" s="37"/>
      <c r="E79" s="35"/>
      <c r="F79" s="37"/>
      <c r="G79" s="35"/>
      <c r="H79" s="37"/>
      <c r="I79" s="35"/>
      <c r="J79" s="36"/>
      <c r="K79" s="35"/>
      <c r="L79" s="37"/>
      <c r="M79" s="37"/>
      <c r="N79" s="3"/>
      <c r="O79" s="3"/>
    </row>
    <row x14ac:dyDescent="0.25" r="80" customHeight="1" ht="18.75">
      <c r="A80" s="37"/>
      <c r="B80" s="37"/>
      <c r="C80" s="35"/>
      <c r="D80" s="37"/>
      <c r="E80" s="35"/>
      <c r="F80" s="37"/>
      <c r="G80" s="35"/>
      <c r="H80" s="37"/>
      <c r="I80" s="35"/>
      <c r="J80" s="36"/>
      <c r="K80" s="35"/>
      <c r="L80" s="37"/>
      <c r="M80" s="37"/>
      <c r="N80" s="3"/>
      <c r="O80" s="3"/>
    </row>
    <row x14ac:dyDescent="0.25" r="81" customHeight="1" ht="18.75">
      <c r="A81" s="37"/>
      <c r="B81" s="37"/>
      <c r="C81" s="35"/>
      <c r="D81" s="37"/>
      <c r="E81" s="35"/>
      <c r="F81" s="37"/>
      <c r="G81" s="35"/>
      <c r="H81" s="37"/>
      <c r="I81" s="35"/>
      <c r="J81" s="36"/>
      <c r="K81" s="35"/>
      <c r="L81" s="37"/>
      <c r="M81" s="37"/>
      <c r="N81" s="3"/>
      <c r="O81" s="3"/>
    </row>
    <row x14ac:dyDescent="0.25" r="82" customHeight="1" ht="18.75">
      <c r="A82" s="37"/>
      <c r="B82" s="37"/>
      <c r="C82" s="35"/>
      <c r="D82" s="37"/>
      <c r="E82" s="35"/>
      <c r="F82" s="37"/>
      <c r="G82" s="35"/>
      <c r="H82" s="37"/>
      <c r="I82" s="35"/>
      <c r="J82" s="36"/>
      <c r="K82" s="35"/>
      <c r="L82" s="37"/>
      <c r="M82" s="37"/>
      <c r="N82" s="3"/>
      <c r="O82" s="3"/>
    </row>
    <row x14ac:dyDescent="0.25" r="83" customHeight="1" ht="18.75">
      <c r="A83" s="37"/>
      <c r="B83" s="37"/>
      <c r="C83" s="35"/>
      <c r="D83" s="37"/>
      <c r="E83" s="35"/>
      <c r="F83" s="37"/>
      <c r="G83" s="35"/>
      <c r="H83" s="37"/>
      <c r="I83" s="35"/>
      <c r="J83" s="36"/>
      <c r="K83" s="35"/>
      <c r="L83" s="37"/>
      <c r="M83" s="37"/>
      <c r="N83" s="3"/>
      <c r="O83" s="3"/>
    </row>
    <row x14ac:dyDescent="0.25" r="84" customHeight="1" ht="18.75">
      <c r="A84" s="37"/>
      <c r="B84" s="37"/>
      <c r="C84" s="35"/>
      <c r="D84" s="37"/>
      <c r="E84" s="35"/>
      <c r="F84" s="37"/>
      <c r="G84" s="35"/>
      <c r="H84" s="37"/>
      <c r="I84" s="35"/>
      <c r="J84" s="36"/>
      <c r="K84" s="35"/>
      <c r="L84" s="37"/>
      <c r="M84" s="37"/>
      <c r="N84" s="3"/>
      <c r="O84" s="3"/>
    </row>
    <row x14ac:dyDescent="0.25" r="85" customHeight="1" ht="18.75">
      <c r="A85" s="37"/>
      <c r="B85" s="37"/>
      <c r="C85" s="35"/>
      <c r="D85" s="37"/>
      <c r="E85" s="35"/>
      <c r="F85" s="37"/>
      <c r="G85" s="35"/>
      <c r="H85" s="37"/>
      <c r="I85" s="35"/>
      <c r="J85" s="36"/>
      <c r="K85" s="35"/>
      <c r="L85" s="37"/>
      <c r="M85" s="37"/>
      <c r="N85" s="3"/>
      <c r="O85" s="3"/>
    </row>
    <row x14ac:dyDescent="0.25" r="86" customHeight="1" ht="18.75">
      <c r="A86" s="37"/>
      <c r="B86" s="37"/>
      <c r="C86" s="35"/>
      <c r="D86" s="37"/>
      <c r="E86" s="35"/>
      <c r="F86" s="37"/>
      <c r="G86" s="35"/>
      <c r="H86" s="37"/>
      <c r="I86" s="35"/>
      <c r="J86" s="36"/>
      <c r="K86" s="35"/>
      <c r="L86" s="37"/>
      <c r="M86" s="37"/>
      <c r="N86" s="3"/>
      <c r="O86" s="3"/>
    </row>
    <row x14ac:dyDescent="0.25" r="87" customHeight="1" ht="18.75">
      <c r="A87" s="37"/>
      <c r="B87" s="37"/>
      <c r="C87" s="35"/>
      <c r="D87" s="37"/>
      <c r="E87" s="35"/>
      <c r="F87" s="37"/>
      <c r="G87" s="35"/>
      <c r="H87" s="37"/>
      <c r="I87" s="35"/>
      <c r="J87" s="36"/>
      <c r="K87" s="35"/>
      <c r="L87" s="37"/>
      <c r="M87" s="37"/>
      <c r="N87" s="3"/>
      <c r="O87" s="3"/>
    </row>
    <row x14ac:dyDescent="0.25" r="88" customHeight="1" ht="18.75">
      <c r="A88" s="37"/>
      <c r="B88" s="37"/>
      <c r="C88" s="35"/>
      <c r="D88" s="37"/>
      <c r="E88" s="35"/>
      <c r="F88" s="37"/>
      <c r="G88" s="35"/>
      <c r="H88" s="37"/>
      <c r="I88" s="35"/>
      <c r="J88" s="36"/>
      <c r="K88" s="35"/>
      <c r="L88" s="37"/>
      <c r="M88" s="37"/>
      <c r="N88" s="3"/>
      <c r="O88" s="3"/>
    </row>
    <row x14ac:dyDescent="0.25" r="89" customHeight="1" ht="18.75">
      <c r="A89" s="37"/>
      <c r="B89" s="37"/>
      <c r="C89" s="35"/>
      <c r="D89" s="37"/>
      <c r="E89" s="35"/>
      <c r="F89" s="37"/>
      <c r="G89" s="35"/>
      <c r="H89" s="37"/>
      <c r="I89" s="35"/>
      <c r="J89" s="36"/>
      <c r="K89" s="35"/>
      <c r="L89" s="37"/>
      <c r="M89" s="37"/>
      <c r="N89" s="3"/>
      <c r="O89" s="3"/>
    </row>
    <row x14ac:dyDescent="0.25" r="90" customHeight="1" ht="18.75">
      <c r="A90" s="37"/>
      <c r="B90" s="37"/>
      <c r="C90" s="35"/>
      <c r="D90" s="37"/>
      <c r="E90" s="35"/>
      <c r="F90" s="37"/>
      <c r="G90" s="35"/>
      <c r="H90" s="37"/>
      <c r="I90" s="35"/>
      <c r="J90" s="36"/>
      <c r="K90" s="35"/>
      <c r="L90" s="37"/>
      <c r="M90" s="37"/>
      <c r="N90" s="3"/>
      <c r="O90" s="3"/>
    </row>
    <row x14ac:dyDescent="0.25" r="91" customHeight="1" ht="18.75">
      <c r="A91" s="37"/>
      <c r="B91" s="37"/>
      <c r="C91" s="35"/>
      <c r="D91" s="37"/>
      <c r="E91" s="35"/>
      <c r="F91" s="37"/>
      <c r="G91" s="35"/>
      <c r="H91" s="37"/>
      <c r="I91" s="35"/>
      <c r="J91" s="36"/>
      <c r="K91" s="35"/>
      <c r="L91" s="37"/>
      <c r="M91" s="37"/>
      <c r="N91" s="3"/>
      <c r="O91" s="3"/>
    </row>
    <row x14ac:dyDescent="0.25" r="92" customHeight="1" ht="18.75">
      <c r="A92" s="37"/>
      <c r="B92" s="37"/>
      <c r="C92" s="35"/>
      <c r="D92" s="37"/>
      <c r="E92" s="35"/>
      <c r="F92" s="37"/>
      <c r="G92" s="35"/>
      <c r="H92" s="37"/>
      <c r="I92" s="35"/>
      <c r="J92" s="36"/>
      <c r="K92" s="35"/>
      <c r="L92" s="37"/>
      <c r="M92" s="37"/>
      <c r="N92" s="3"/>
      <c r="O92" s="3"/>
    </row>
    <row x14ac:dyDescent="0.25" r="93" customHeight="1" ht="18.75">
      <c r="A93" s="37"/>
      <c r="B93" s="37"/>
      <c r="C93" s="35"/>
      <c r="D93" s="37"/>
      <c r="E93" s="35"/>
      <c r="F93" s="37"/>
      <c r="G93" s="35"/>
      <c r="H93" s="37"/>
      <c r="I93" s="35"/>
      <c r="J93" s="36"/>
      <c r="K93" s="35"/>
      <c r="L93" s="37"/>
      <c r="M93" s="37"/>
      <c r="N93" s="3"/>
      <c r="O93" s="3"/>
    </row>
    <row x14ac:dyDescent="0.25" r="94" customHeight="1" ht="18.75">
      <c r="A94" s="37"/>
      <c r="B94" s="37"/>
      <c r="C94" s="35"/>
      <c r="D94" s="37"/>
      <c r="E94" s="35"/>
      <c r="F94" s="37"/>
      <c r="G94" s="35"/>
      <c r="H94" s="37"/>
      <c r="I94" s="35"/>
      <c r="J94" s="36"/>
      <c r="K94" s="35"/>
      <c r="L94" s="37"/>
      <c r="M94" s="37"/>
      <c r="N94" s="3"/>
      <c r="O94" s="3"/>
    </row>
    <row x14ac:dyDescent="0.25" r="95" customHeight="1" ht="18.75">
      <c r="A95" s="37"/>
      <c r="B95" s="37"/>
      <c r="C95" s="35"/>
      <c r="D95" s="37"/>
      <c r="E95" s="35"/>
      <c r="F95" s="37"/>
      <c r="G95" s="35"/>
      <c r="H95" s="37"/>
      <c r="I95" s="35"/>
      <c r="J95" s="36"/>
      <c r="K95" s="35"/>
      <c r="L95" s="37"/>
      <c r="M95" s="37"/>
      <c r="N95" s="3"/>
      <c r="O95" s="3"/>
    </row>
    <row x14ac:dyDescent="0.25" r="96" customHeight="1" ht="18.75">
      <c r="A96" s="37"/>
      <c r="B96" s="37"/>
      <c r="C96" s="35"/>
      <c r="D96" s="37"/>
      <c r="E96" s="35"/>
      <c r="F96" s="37"/>
      <c r="G96" s="35"/>
      <c r="H96" s="37"/>
      <c r="I96" s="35"/>
      <c r="J96" s="36"/>
      <c r="K96" s="35"/>
      <c r="L96" s="37"/>
      <c r="M96" s="37"/>
      <c r="N96" s="3"/>
      <c r="O96" s="3"/>
    </row>
    <row x14ac:dyDescent="0.25" r="97" customHeight="1" ht="18.75">
      <c r="A97" s="37"/>
      <c r="B97" s="37"/>
      <c r="C97" s="35"/>
      <c r="D97" s="37"/>
      <c r="E97" s="35"/>
      <c r="F97" s="37"/>
      <c r="G97" s="35"/>
      <c r="H97" s="37"/>
      <c r="I97" s="35"/>
      <c r="J97" s="36"/>
      <c r="K97" s="35"/>
      <c r="L97" s="37"/>
      <c r="M97" s="37"/>
      <c r="N97" s="3"/>
      <c r="O97" s="3"/>
    </row>
    <row x14ac:dyDescent="0.25" r="98" customHeight="1" ht="18.75">
      <c r="A98" s="37"/>
      <c r="B98" s="37"/>
      <c r="C98" s="35"/>
      <c r="D98" s="37"/>
      <c r="E98" s="35"/>
      <c r="F98" s="37"/>
      <c r="G98" s="35"/>
      <c r="H98" s="37"/>
      <c r="I98" s="35"/>
      <c r="J98" s="36"/>
      <c r="K98" s="35"/>
      <c r="L98" s="37"/>
      <c r="M98" s="37"/>
      <c r="N98" s="3"/>
      <c r="O98" s="3"/>
    </row>
    <row x14ac:dyDescent="0.25" r="99" customHeight="1" ht="18.75">
      <c r="A99" s="37"/>
      <c r="B99" s="37"/>
      <c r="C99" s="35"/>
      <c r="D99" s="37"/>
      <c r="E99" s="35"/>
      <c r="F99" s="37"/>
      <c r="G99" s="35"/>
      <c r="H99" s="37"/>
      <c r="I99" s="35"/>
      <c r="J99" s="36"/>
      <c r="K99" s="35"/>
      <c r="L99" s="37"/>
      <c r="M99" s="37"/>
      <c r="N99" s="3"/>
      <c r="O99" s="3"/>
    </row>
    <row x14ac:dyDescent="0.25" r="100" customHeight="1" ht="18.75">
      <c r="A100" s="37"/>
      <c r="B100" s="37"/>
      <c r="C100" s="35"/>
      <c r="D100" s="37"/>
      <c r="E100" s="35"/>
      <c r="F100" s="37"/>
      <c r="G100" s="35"/>
      <c r="H100" s="37"/>
      <c r="I100" s="35"/>
      <c r="J100" s="36"/>
      <c r="K100" s="35"/>
      <c r="L100" s="37"/>
      <c r="M100" s="37"/>
      <c r="N100" s="3"/>
      <c r="O100" s="3"/>
    </row>
    <row x14ac:dyDescent="0.25" r="101" customHeight="1" ht="18.75">
      <c r="A101" s="37"/>
      <c r="B101" s="37"/>
      <c r="C101" s="35"/>
      <c r="D101" s="37"/>
      <c r="E101" s="35"/>
      <c r="F101" s="37"/>
      <c r="G101" s="35"/>
      <c r="H101" s="37"/>
      <c r="I101" s="35"/>
      <c r="J101" s="36"/>
      <c r="K101" s="35"/>
      <c r="L101" s="37"/>
      <c r="M101" s="37"/>
      <c r="N101" s="3"/>
      <c r="O101" s="3"/>
    </row>
    <row x14ac:dyDescent="0.25" r="102" customHeight="1" ht="18.75">
      <c r="A102" s="37"/>
      <c r="B102" s="37"/>
      <c r="C102" s="35"/>
      <c r="D102" s="37"/>
      <c r="E102" s="35"/>
      <c r="F102" s="37"/>
      <c r="G102" s="35"/>
      <c r="H102" s="37"/>
      <c r="I102" s="35"/>
      <c r="J102" s="36"/>
      <c r="K102" s="35"/>
      <c r="L102" s="37"/>
      <c r="M102" s="37"/>
      <c r="N102" s="3"/>
      <c r="O102" s="3"/>
    </row>
    <row x14ac:dyDescent="0.25" r="103" customHeight="1" ht="18.75">
      <c r="A103" s="37"/>
      <c r="B103" s="37"/>
      <c r="C103" s="35"/>
      <c r="D103" s="37"/>
      <c r="E103" s="35"/>
      <c r="F103" s="37"/>
      <c r="G103" s="35"/>
      <c r="H103" s="37"/>
      <c r="I103" s="35"/>
      <c r="J103" s="36"/>
      <c r="K103" s="35"/>
      <c r="L103" s="37"/>
      <c r="M103" s="37"/>
      <c r="N103" s="3"/>
      <c r="O103" s="3"/>
    </row>
    <row x14ac:dyDescent="0.25" r="104" customHeight="1" ht="18.75">
      <c r="A104" s="37"/>
      <c r="B104" s="37"/>
      <c r="C104" s="35"/>
      <c r="D104" s="37"/>
      <c r="E104" s="35"/>
      <c r="F104" s="37"/>
      <c r="G104" s="35"/>
      <c r="H104" s="37"/>
      <c r="I104" s="35"/>
      <c r="J104" s="36"/>
      <c r="K104" s="35"/>
      <c r="L104" s="37"/>
      <c r="M104" s="37"/>
      <c r="N104" s="3"/>
      <c r="O104" s="3"/>
    </row>
    <row x14ac:dyDescent="0.25" r="105" customHeight="1" ht="18.75">
      <c r="A105" s="37"/>
      <c r="B105" s="37"/>
      <c r="C105" s="35"/>
      <c r="D105" s="37"/>
      <c r="E105" s="35"/>
      <c r="F105" s="37"/>
      <c r="G105" s="35"/>
      <c r="H105" s="37"/>
      <c r="I105" s="35"/>
      <c r="J105" s="36"/>
      <c r="K105" s="35"/>
      <c r="L105" s="37"/>
      <c r="M105" s="37"/>
      <c r="N105" s="3"/>
      <c r="O105" s="3"/>
    </row>
    <row x14ac:dyDescent="0.25" r="106" customHeight="1" ht="18.75">
      <c r="A106" s="37"/>
      <c r="B106" s="37"/>
      <c r="C106" s="35"/>
      <c r="D106" s="37"/>
      <c r="E106" s="35"/>
      <c r="F106" s="37"/>
      <c r="G106" s="35"/>
      <c r="H106" s="37"/>
      <c r="I106" s="35"/>
      <c r="J106" s="36"/>
      <c r="K106" s="35"/>
      <c r="L106" s="37"/>
      <c r="M106" s="37"/>
      <c r="N106" s="3"/>
      <c r="O106" s="3"/>
    </row>
    <row x14ac:dyDescent="0.25" r="107" customHeight="1" ht="18.75">
      <c r="A107" s="37"/>
      <c r="B107" s="37"/>
      <c r="C107" s="35"/>
      <c r="D107" s="37"/>
      <c r="E107" s="35"/>
      <c r="F107" s="37"/>
      <c r="G107" s="35"/>
      <c r="H107" s="37"/>
      <c r="I107" s="35"/>
      <c r="J107" s="36"/>
      <c r="K107" s="35"/>
      <c r="L107" s="37"/>
      <c r="M107" s="37"/>
      <c r="N107" s="3"/>
      <c r="O107" s="3"/>
    </row>
    <row x14ac:dyDescent="0.25" r="108" customHeight="1" ht="18.75">
      <c r="A108" s="37"/>
      <c r="B108" s="37"/>
      <c r="C108" s="35"/>
      <c r="D108" s="37"/>
      <c r="E108" s="35"/>
      <c r="F108" s="37"/>
      <c r="G108" s="35"/>
      <c r="H108" s="37"/>
      <c r="I108" s="35"/>
      <c r="J108" s="36"/>
      <c r="K108" s="35"/>
      <c r="L108" s="37"/>
      <c r="M108" s="37"/>
      <c r="N108" s="3"/>
      <c r="O108" s="3"/>
    </row>
    <row x14ac:dyDescent="0.25" r="109" customHeight="1" ht="18.75">
      <c r="A109" s="37"/>
      <c r="B109" s="37"/>
      <c r="C109" s="35"/>
      <c r="D109" s="37"/>
      <c r="E109" s="35"/>
      <c r="F109" s="37"/>
      <c r="G109" s="35"/>
      <c r="H109" s="37"/>
      <c r="I109" s="35"/>
      <c r="J109" s="36"/>
      <c r="K109" s="35"/>
      <c r="L109" s="37"/>
      <c r="M109" s="37"/>
      <c r="N109" s="3"/>
      <c r="O109" s="3"/>
    </row>
    <row x14ac:dyDescent="0.25" r="110" customHeight="1" ht="18.75">
      <c r="A110" s="37"/>
      <c r="B110" s="37"/>
      <c r="C110" s="35"/>
      <c r="D110" s="37"/>
      <c r="E110" s="35"/>
      <c r="F110" s="37"/>
      <c r="G110" s="35"/>
      <c r="H110" s="37"/>
      <c r="I110" s="35"/>
      <c r="J110" s="36"/>
      <c r="K110" s="35"/>
      <c r="L110" s="37"/>
      <c r="M110" s="37"/>
      <c r="N110" s="3"/>
      <c r="O110" s="3"/>
    </row>
    <row x14ac:dyDescent="0.25" r="111" customHeight="1" ht="18.75">
      <c r="A111" s="37"/>
      <c r="B111" s="37"/>
      <c r="C111" s="35"/>
      <c r="D111" s="37"/>
      <c r="E111" s="35"/>
      <c r="F111" s="37"/>
      <c r="G111" s="35"/>
      <c r="H111" s="37"/>
      <c r="I111" s="35"/>
      <c r="J111" s="36"/>
      <c r="K111" s="35"/>
      <c r="L111" s="37"/>
      <c r="M111" s="37"/>
      <c r="N111" s="3"/>
      <c r="O111" s="3"/>
    </row>
    <row x14ac:dyDescent="0.25" r="112" customHeight="1" ht="18.75">
      <c r="A112" s="37"/>
      <c r="B112" s="37"/>
      <c r="C112" s="35"/>
      <c r="D112" s="37"/>
      <c r="E112" s="35"/>
      <c r="F112" s="37"/>
      <c r="G112" s="35"/>
      <c r="H112" s="37"/>
      <c r="I112" s="35"/>
      <c r="J112" s="36"/>
      <c r="K112" s="35"/>
      <c r="L112" s="37"/>
      <c r="M112" s="37"/>
      <c r="N112" s="3"/>
      <c r="O112" s="3"/>
    </row>
    <row x14ac:dyDescent="0.25" r="113" customHeight="1" ht="18.75">
      <c r="A113" s="37"/>
      <c r="B113" s="37"/>
      <c r="C113" s="35"/>
      <c r="D113" s="37"/>
      <c r="E113" s="35"/>
      <c r="F113" s="37"/>
      <c r="G113" s="35"/>
      <c r="H113" s="37"/>
      <c r="I113" s="35"/>
      <c r="J113" s="36"/>
      <c r="K113" s="35"/>
      <c r="L113" s="37"/>
      <c r="M113" s="37"/>
      <c r="N113" s="3"/>
      <c r="O113" s="3"/>
    </row>
    <row x14ac:dyDescent="0.25" r="114" customHeight="1" ht="18.75">
      <c r="A114" s="37"/>
      <c r="B114" s="37"/>
      <c r="C114" s="35"/>
      <c r="D114" s="37"/>
      <c r="E114" s="35"/>
      <c r="F114" s="37"/>
      <c r="G114" s="35"/>
      <c r="H114" s="37"/>
      <c r="I114" s="35"/>
      <c r="J114" s="36"/>
      <c r="K114" s="35"/>
      <c r="L114" s="37"/>
      <c r="M114" s="37"/>
      <c r="N114" s="3"/>
      <c r="O114" s="3"/>
    </row>
    <row x14ac:dyDescent="0.25" r="115" customHeight="1" ht="18.75">
      <c r="A115" s="37"/>
      <c r="B115" s="37"/>
      <c r="C115" s="35"/>
      <c r="D115" s="37"/>
      <c r="E115" s="35"/>
      <c r="F115" s="37"/>
      <c r="G115" s="35"/>
      <c r="H115" s="37"/>
      <c r="I115" s="35"/>
      <c r="J115" s="36"/>
      <c r="K115" s="35"/>
      <c r="L115" s="37"/>
      <c r="M115" s="37"/>
      <c r="N115" s="3"/>
      <c r="O115" s="3"/>
    </row>
    <row x14ac:dyDescent="0.25" r="116" customHeight="1" ht="18.75">
      <c r="A116" s="37"/>
      <c r="B116" s="37"/>
      <c r="C116" s="35"/>
      <c r="D116" s="37"/>
      <c r="E116" s="35"/>
      <c r="F116" s="37"/>
      <c r="G116" s="35"/>
      <c r="H116" s="37"/>
      <c r="I116" s="35"/>
      <c r="J116" s="36"/>
      <c r="K116" s="35"/>
      <c r="L116" s="37"/>
      <c r="M116" s="37"/>
      <c r="N116" s="3"/>
      <c r="O116" s="3"/>
    </row>
    <row x14ac:dyDescent="0.25" r="117" customHeight="1" ht="18.75">
      <c r="A117" s="37"/>
      <c r="B117" s="37"/>
      <c r="C117" s="35"/>
      <c r="D117" s="37"/>
      <c r="E117" s="35"/>
      <c r="F117" s="37"/>
      <c r="G117" s="35"/>
      <c r="H117" s="37"/>
      <c r="I117" s="35"/>
      <c r="J117" s="36"/>
      <c r="K117" s="35"/>
      <c r="L117" s="37"/>
      <c r="M117" s="37"/>
      <c r="N117" s="3"/>
      <c r="O117" s="3"/>
    </row>
    <row x14ac:dyDescent="0.25" r="118" customHeight="1" ht="18.75">
      <c r="A118" s="37"/>
      <c r="B118" s="37"/>
      <c r="C118" s="35"/>
      <c r="D118" s="37"/>
      <c r="E118" s="35"/>
      <c r="F118" s="37"/>
      <c r="G118" s="35"/>
      <c r="H118" s="37"/>
      <c r="I118" s="35"/>
      <c r="J118" s="36"/>
      <c r="K118" s="35"/>
      <c r="L118" s="37"/>
      <c r="M118" s="37"/>
      <c r="N118" s="3"/>
      <c r="O118" s="3"/>
    </row>
    <row x14ac:dyDescent="0.25" r="119" customHeight="1" ht="18.75">
      <c r="A119" s="37"/>
      <c r="B119" s="37"/>
      <c r="C119" s="35"/>
      <c r="D119" s="37"/>
      <c r="E119" s="35"/>
      <c r="F119" s="37"/>
      <c r="G119" s="35"/>
      <c r="H119" s="37"/>
      <c r="I119" s="35"/>
      <c r="J119" s="36"/>
      <c r="K119" s="35"/>
      <c r="L119" s="37"/>
      <c r="M119" s="37"/>
      <c r="N119" s="3"/>
      <c r="O119" s="3"/>
    </row>
    <row x14ac:dyDescent="0.25" r="120" customHeight="1" ht="18.75">
      <c r="A120" s="37"/>
      <c r="B120" s="37"/>
      <c r="C120" s="35"/>
      <c r="D120" s="37"/>
      <c r="E120" s="35"/>
      <c r="F120" s="37"/>
      <c r="G120" s="35"/>
      <c r="H120" s="37"/>
      <c r="I120" s="35"/>
      <c r="J120" s="36"/>
      <c r="K120" s="35"/>
      <c r="L120" s="37"/>
      <c r="M120" s="37"/>
      <c r="N120" s="3"/>
      <c r="O120" s="3"/>
    </row>
    <row x14ac:dyDescent="0.25" r="121" customHeight="1" ht="18.75">
      <c r="A121" s="37"/>
      <c r="B121" s="37"/>
      <c r="C121" s="35"/>
      <c r="D121" s="37"/>
      <c r="E121" s="35"/>
      <c r="F121" s="37"/>
      <c r="G121" s="35"/>
      <c r="H121" s="37"/>
      <c r="I121" s="35"/>
      <c r="J121" s="36"/>
      <c r="K121" s="35"/>
      <c r="L121" s="37"/>
      <c r="M121" s="37"/>
      <c r="N121" s="3"/>
      <c r="O121" s="3"/>
    </row>
    <row x14ac:dyDescent="0.25" r="122" customHeight="1" ht="18.75">
      <c r="A122" s="37"/>
      <c r="B122" s="37"/>
      <c r="C122" s="35"/>
      <c r="D122" s="37"/>
      <c r="E122" s="35"/>
      <c r="F122" s="37"/>
      <c r="G122" s="35"/>
      <c r="H122" s="37"/>
      <c r="I122" s="35"/>
      <c r="J122" s="36"/>
      <c r="K122" s="35"/>
      <c r="L122" s="37"/>
      <c r="M122" s="37"/>
      <c r="N122" s="3"/>
      <c r="O122" s="3"/>
    </row>
    <row x14ac:dyDescent="0.25" r="123" customHeight="1" ht="18.75">
      <c r="A123" s="37"/>
      <c r="B123" s="37"/>
      <c r="C123" s="35"/>
      <c r="D123" s="37"/>
      <c r="E123" s="35"/>
      <c r="F123" s="37"/>
      <c r="G123" s="35"/>
      <c r="H123" s="37"/>
      <c r="I123" s="35"/>
      <c r="J123" s="36"/>
      <c r="K123" s="35"/>
      <c r="L123" s="37"/>
      <c r="M123" s="37"/>
      <c r="N123" s="3"/>
      <c r="O123" s="3"/>
    </row>
    <row x14ac:dyDescent="0.25" r="124" customHeight="1" ht="18.75">
      <c r="A124" s="37"/>
      <c r="B124" s="37"/>
      <c r="C124" s="35"/>
      <c r="D124" s="37"/>
      <c r="E124" s="35"/>
      <c r="F124" s="37"/>
      <c r="G124" s="35"/>
      <c r="H124" s="37"/>
      <c r="I124" s="35"/>
      <c r="J124" s="36"/>
      <c r="K124" s="35"/>
      <c r="L124" s="37"/>
      <c r="M124" s="37"/>
      <c r="N124" s="3"/>
      <c r="O124" s="3"/>
    </row>
    <row x14ac:dyDescent="0.25" r="125" customHeight="1" ht="18.75">
      <c r="A125" s="37"/>
      <c r="B125" s="37"/>
      <c r="C125" s="35"/>
      <c r="D125" s="37"/>
      <c r="E125" s="35"/>
      <c r="F125" s="37"/>
      <c r="G125" s="35"/>
      <c r="H125" s="37"/>
      <c r="I125" s="35"/>
      <c r="J125" s="36"/>
      <c r="K125" s="35"/>
      <c r="L125" s="37"/>
      <c r="M125" s="37"/>
      <c r="N125" s="3"/>
      <c r="O125" s="3"/>
    </row>
    <row x14ac:dyDescent="0.25" r="126" customHeight="1" ht="18.75">
      <c r="A126" s="37"/>
      <c r="B126" s="37"/>
      <c r="C126" s="35"/>
      <c r="D126" s="37"/>
      <c r="E126" s="35"/>
      <c r="F126" s="37"/>
      <c r="G126" s="35"/>
      <c r="H126" s="37"/>
      <c r="I126" s="35"/>
      <c r="J126" s="36"/>
      <c r="K126" s="35"/>
      <c r="L126" s="37"/>
      <c r="M126" s="37"/>
      <c r="N126" s="3"/>
      <c r="O126" s="3"/>
    </row>
    <row x14ac:dyDescent="0.25" r="127" customHeight="1" ht="18.75">
      <c r="A127" s="37"/>
      <c r="B127" s="37"/>
      <c r="C127" s="35"/>
      <c r="D127" s="37"/>
      <c r="E127" s="35"/>
      <c r="F127" s="37"/>
      <c r="G127" s="35"/>
      <c r="H127" s="37"/>
      <c r="I127" s="35"/>
      <c r="J127" s="36"/>
      <c r="K127" s="35"/>
      <c r="L127" s="37"/>
      <c r="M127" s="37"/>
      <c r="N127" s="3"/>
      <c r="O127" s="3"/>
    </row>
    <row x14ac:dyDescent="0.25" r="128" customHeight="1" ht="18.75">
      <c r="A128" s="37"/>
      <c r="B128" s="37"/>
      <c r="C128" s="35"/>
      <c r="D128" s="37"/>
      <c r="E128" s="35"/>
      <c r="F128" s="37"/>
      <c r="G128" s="35"/>
      <c r="H128" s="37"/>
      <c r="I128" s="35"/>
      <c r="J128" s="36"/>
      <c r="K128" s="35"/>
      <c r="L128" s="37"/>
      <c r="M128" s="37"/>
      <c r="N128" s="3"/>
      <c r="O128" s="3"/>
    </row>
    <row x14ac:dyDescent="0.25" r="129" customHeight="1" ht="18.75">
      <c r="A129" s="37"/>
      <c r="B129" s="37"/>
      <c r="C129" s="35"/>
      <c r="D129" s="37"/>
      <c r="E129" s="35"/>
      <c r="F129" s="37"/>
      <c r="G129" s="35"/>
      <c r="H129" s="37"/>
      <c r="I129" s="35"/>
      <c r="J129" s="36"/>
      <c r="K129" s="35"/>
      <c r="L129" s="37"/>
      <c r="M129" s="37"/>
      <c r="N129" s="3"/>
      <c r="O129" s="3"/>
    </row>
    <row x14ac:dyDescent="0.25" r="130" customHeight="1" ht="18.75">
      <c r="A130" s="37"/>
      <c r="B130" s="37"/>
      <c r="C130" s="35"/>
      <c r="D130" s="37"/>
      <c r="E130" s="35"/>
      <c r="F130" s="37"/>
      <c r="G130" s="35"/>
      <c r="H130" s="37"/>
      <c r="I130" s="35"/>
      <c r="J130" s="36"/>
      <c r="K130" s="35"/>
      <c r="L130" s="37"/>
      <c r="M130" s="37"/>
      <c r="N130" s="3"/>
      <c r="O130" s="3"/>
    </row>
    <row x14ac:dyDescent="0.25" r="131" customHeight="1" ht="18.75">
      <c r="A131" s="37"/>
      <c r="B131" s="37"/>
      <c r="C131" s="35"/>
      <c r="D131" s="37"/>
      <c r="E131" s="35"/>
      <c r="F131" s="37"/>
      <c r="G131" s="35"/>
      <c r="H131" s="37"/>
      <c r="I131" s="35"/>
      <c r="J131" s="36"/>
      <c r="K131" s="35"/>
      <c r="L131" s="37"/>
      <c r="M131" s="37"/>
      <c r="N131" s="3"/>
      <c r="O131" s="3"/>
    </row>
    <row x14ac:dyDescent="0.25" r="132" customHeight="1" ht="18.75">
      <c r="A132" s="37"/>
      <c r="B132" s="37"/>
      <c r="C132" s="35"/>
      <c r="D132" s="37"/>
      <c r="E132" s="35"/>
      <c r="F132" s="37"/>
      <c r="G132" s="35"/>
      <c r="H132" s="37"/>
      <c r="I132" s="35"/>
      <c r="J132" s="36"/>
      <c r="K132" s="35"/>
      <c r="L132" s="37"/>
      <c r="M132" s="37"/>
      <c r="N132" s="3"/>
      <c r="O132" s="3"/>
    </row>
    <row x14ac:dyDescent="0.25" r="133" customHeight="1" ht="18.75">
      <c r="A133" s="37"/>
      <c r="B133" s="37"/>
      <c r="C133" s="35"/>
      <c r="D133" s="37"/>
      <c r="E133" s="35"/>
      <c r="F133" s="37"/>
      <c r="G133" s="35"/>
      <c r="H133" s="37"/>
      <c r="I133" s="35"/>
      <c r="J133" s="36"/>
      <c r="K133" s="35"/>
      <c r="L133" s="37"/>
      <c r="M133" s="37"/>
      <c r="N133" s="3"/>
      <c r="O133" s="3"/>
    </row>
    <row x14ac:dyDescent="0.25" r="134" customHeight="1" ht="18.75">
      <c r="A134" s="37"/>
      <c r="B134" s="37"/>
      <c r="C134" s="35"/>
      <c r="D134" s="37"/>
      <c r="E134" s="35"/>
      <c r="F134" s="37"/>
      <c r="G134" s="35"/>
      <c r="H134" s="37"/>
      <c r="I134" s="35"/>
      <c r="J134" s="36"/>
      <c r="K134" s="35"/>
      <c r="L134" s="37"/>
      <c r="M134" s="37"/>
      <c r="N134" s="3"/>
      <c r="O134" s="3"/>
    </row>
    <row x14ac:dyDescent="0.25" r="135" customHeight="1" ht="18.75">
      <c r="A135" s="37"/>
      <c r="B135" s="37"/>
      <c r="C135" s="35"/>
      <c r="D135" s="37"/>
      <c r="E135" s="35"/>
      <c r="F135" s="37"/>
      <c r="G135" s="35"/>
      <c r="H135" s="37"/>
      <c r="I135" s="35"/>
      <c r="J135" s="36"/>
      <c r="K135" s="35"/>
      <c r="L135" s="37"/>
      <c r="M135" s="37"/>
      <c r="N135" s="3"/>
      <c r="O13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56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2" width="18.719285714285714" customWidth="1" bestFit="1"/>
    <col min="2" max="2" style="29" width="21.433571428571426" customWidth="1" bestFit="1"/>
    <col min="3" max="3" style="30" width="42.14785714285715" customWidth="1" bestFit="1"/>
    <col min="4" max="4" style="30" width="31.433571428571426" customWidth="1" bestFit="1"/>
    <col min="5" max="5" style="31" width="30.290714285714284" customWidth="1" bestFit="1"/>
    <col min="6" max="6" style="29" width="14.290714285714287" customWidth="1" bestFit="1"/>
    <col min="7" max="7" style="29" width="17.719285714285714" customWidth="1" bestFit="1"/>
    <col min="8" max="8" style="29" width="19.719285714285714" customWidth="1" bestFit="1"/>
    <col min="9" max="9" style="29" width="13.719285714285713" customWidth="1" bestFit="1"/>
    <col min="10" max="10" style="29" width="21.433571428571426" customWidth="1" bestFit="1"/>
    <col min="11" max="11" style="29" width="13.576428571428572" customWidth="1" bestFit="1"/>
    <col min="12" max="12" style="29" width="13.576428571428572" customWidth="1" bestFit="1"/>
    <col min="13" max="13" style="13" width="13.576428571428572" customWidth="1" bestFit="1"/>
    <col min="14" max="14" style="13" width="13.576428571428572" customWidth="1" bestFit="1"/>
    <col min="15" max="15" style="13" width="13.576428571428572" customWidth="1" bestFit="1"/>
  </cols>
  <sheetData>
    <row x14ac:dyDescent="0.25" r="1" customHeight="1" ht="18.75">
      <c r="A1" s="1" t="s">
        <v>0</v>
      </c>
      <c r="B1" s="1" t="s">
        <v>116</v>
      </c>
      <c r="C1" s="14" t="s">
        <v>117</v>
      </c>
      <c r="D1" s="14" t="s">
        <v>118</v>
      </c>
      <c r="E1" s="15" t="s">
        <v>119</v>
      </c>
      <c r="F1" s="1" t="s">
        <v>120</v>
      </c>
      <c r="G1" s="1" t="s">
        <v>121</v>
      </c>
      <c r="H1" s="16" t="s">
        <v>122</v>
      </c>
      <c r="I1" s="1" t="s">
        <v>123</v>
      </c>
      <c r="J1" s="1" t="s">
        <v>124</v>
      </c>
      <c r="K1" s="1"/>
      <c r="L1" s="1"/>
      <c r="M1" s="1"/>
      <c r="N1" s="1"/>
      <c r="O1" s="1"/>
    </row>
    <row x14ac:dyDescent="0.25" r="2" customHeight="1" ht="18.75">
      <c r="A2" s="4" t="s">
        <v>6</v>
      </c>
      <c r="B2" s="17" t="s">
        <v>125</v>
      </c>
      <c r="C2" s="18">
        <v>800</v>
      </c>
      <c r="D2" s="18">
        <v>9</v>
      </c>
      <c r="E2" s="19">
        <f>2.06*2.3*4.6</f>
      </c>
      <c r="F2" s="20" t="s">
        <v>126</v>
      </c>
      <c r="G2" s="20" t="s">
        <v>126</v>
      </c>
      <c r="H2" s="21" t="s">
        <v>127</v>
      </c>
      <c r="I2" s="21" t="s">
        <v>127</v>
      </c>
      <c r="J2" s="22" t="s">
        <v>126</v>
      </c>
      <c r="K2" s="22"/>
      <c r="L2" s="22"/>
      <c r="M2" s="3"/>
      <c r="N2" s="3"/>
      <c r="O2" s="3"/>
    </row>
    <row x14ac:dyDescent="0.25" r="3" customHeight="1" ht="18.75">
      <c r="A3" s="5" t="s">
        <v>9</v>
      </c>
      <c r="B3" s="23" t="s">
        <v>128</v>
      </c>
      <c r="C3" s="18">
        <v>13500</v>
      </c>
      <c r="D3" s="18">
        <v>23</v>
      </c>
      <c r="E3" s="24">
        <f>2.48*2.82*9.6</f>
      </c>
      <c r="F3" s="21" t="s">
        <v>127</v>
      </c>
      <c r="G3" s="20" t="s">
        <v>126</v>
      </c>
      <c r="H3" s="20" t="s">
        <v>126</v>
      </c>
      <c r="I3" s="20" t="s">
        <v>126</v>
      </c>
      <c r="J3" s="22" t="s">
        <v>127</v>
      </c>
      <c r="K3" s="22"/>
      <c r="L3" s="22"/>
      <c r="M3" s="3"/>
      <c r="N3" s="3"/>
      <c r="O3" s="3"/>
    </row>
    <row x14ac:dyDescent="0.25" r="4" customHeight="1" ht="18.75">
      <c r="A4" s="4" t="s">
        <v>11</v>
      </c>
      <c r="B4" s="17" t="s">
        <v>125</v>
      </c>
      <c r="C4" s="18">
        <v>700</v>
      </c>
      <c r="D4" s="18">
        <v>8</v>
      </c>
      <c r="E4" s="19">
        <f>2.06*2.1*4.2</f>
      </c>
      <c r="F4" s="20" t="s">
        <v>126</v>
      </c>
      <c r="G4" s="21" t="s">
        <v>127</v>
      </c>
      <c r="H4" s="21" t="s">
        <v>127</v>
      </c>
      <c r="I4" s="20" t="s">
        <v>126</v>
      </c>
      <c r="J4" s="22" t="s">
        <v>126</v>
      </c>
      <c r="K4" s="22"/>
      <c r="L4" s="22"/>
      <c r="M4" s="3"/>
      <c r="N4" s="3"/>
      <c r="O4" s="3"/>
    </row>
    <row x14ac:dyDescent="0.25" r="5" customHeight="1" ht="18.75">
      <c r="A5" s="5" t="s">
        <v>13</v>
      </c>
      <c r="B5" s="23" t="s">
        <v>128</v>
      </c>
      <c r="C5" s="18">
        <v>8000</v>
      </c>
      <c r="D5" s="18">
        <v>20</v>
      </c>
      <c r="E5" s="24">
        <f>2.48*2.8*8.2</f>
      </c>
      <c r="F5" s="21" t="s">
        <v>127</v>
      </c>
      <c r="G5" s="20" t="s">
        <v>126</v>
      </c>
      <c r="H5" s="20" t="s">
        <v>126</v>
      </c>
      <c r="I5" s="20" t="s">
        <v>126</v>
      </c>
      <c r="J5" s="22" t="s">
        <v>127</v>
      </c>
      <c r="K5" s="22"/>
      <c r="L5" s="22"/>
      <c r="M5" s="3"/>
      <c r="N5" s="3"/>
      <c r="O5" s="3"/>
    </row>
    <row x14ac:dyDescent="0.25" r="6" customHeight="1" ht="18.75">
      <c r="A6" s="6" t="s">
        <v>15</v>
      </c>
      <c r="B6" s="25" t="s">
        <v>125</v>
      </c>
      <c r="C6" s="18">
        <v>800</v>
      </c>
      <c r="D6" s="18">
        <v>4</v>
      </c>
      <c r="E6" s="19">
        <f>1.55*1.65*3.2</f>
      </c>
      <c r="F6" s="20" t="s">
        <v>126</v>
      </c>
      <c r="G6" s="21" t="s">
        <v>127</v>
      </c>
      <c r="H6" s="21" t="s">
        <v>127</v>
      </c>
      <c r="I6" s="20" t="s">
        <v>126</v>
      </c>
      <c r="J6" s="22" t="s">
        <v>126</v>
      </c>
      <c r="K6" s="22"/>
      <c r="L6" s="22"/>
      <c r="M6" s="3"/>
      <c r="N6" s="3"/>
      <c r="O6" s="3"/>
    </row>
    <row x14ac:dyDescent="0.25" r="7" customHeight="1" ht="18.75">
      <c r="A7" s="4" t="s">
        <v>17</v>
      </c>
      <c r="B7" s="17" t="s">
        <v>125</v>
      </c>
      <c r="C7" s="18">
        <v>700</v>
      </c>
      <c r="D7" s="18">
        <v>8</v>
      </c>
      <c r="E7" s="19">
        <f>2.06*2.1*4.2</f>
      </c>
      <c r="F7" s="20" t="s">
        <v>126</v>
      </c>
      <c r="G7" s="21" t="s">
        <v>127</v>
      </c>
      <c r="H7" s="21" t="s">
        <v>127</v>
      </c>
      <c r="I7" s="20" t="s">
        <v>126</v>
      </c>
      <c r="J7" s="22" t="s">
        <v>126</v>
      </c>
      <c r="K7" s="22"/>
      <c r="L7" s="22"/>
      <c r="M7" s="3"/>
      <c r="N7" s="3"/>
      <c r="O7" s="3"/>
    </row>
    <row x14ac:dyDescent="0.25" r="8" customHeight="1" ht="18.75">
      <c r="A8" s="4" t="s">
        <v>21</v>
      </c>
      <c r="B8" s="17" t="s">
        <v>125</v>
      </c>
      <c r="C8" s="18">
        <v>700</v>
      </c>
      <c r="D8" s="18">
        <v>10</v>
      </c>
      <c r="E8" s="19">
        <f>2.06*2.4*4.98</f>
      </c>
      <c r="F8" s="20" t="s">
        <v>126</v>
      </c>
      <c r="G8" s="20" t="s">
        <v>126</v>
      </c>
      <c r="H8" s="21" t="s">
        <v>127</v>
      </c>
      <c r="I8" s="21" t="s">
        <v>127</v>
      </c>
      <c r="J8" s="22" t="s">
        <v>126</v>
      </c>
      <c r="K8" s="22"/>
      <c r="L8" s="22"/>
      <c r="M8" s="3"/>
      <c r="N8" s="3"/>
      <c r="O8" s="3"/>
    </row>
    <row x14ac:dyDescent="0.25" r="9" customHeight="1" ht="18.75">
      <c r="A9" s="6" t="s">
        <v>23</v>
      </c>
      <c r="B9" s="25" t="s">
        <v>125</v>
      </c>
      <c r="C9" s="18">
        <v>800</v>
      </c>
      <c r="D9" s="18">
        <v>6</v>
      </c>
      <c r="E9" s="19">
        <f>1.6*1.8*4.7</f>
      </c>
      <c r="F9" s="20" t="s">
        <v>126</v>
      </c>
      <c r="G9" s="20" t="s">
        <v>126</v>
      </c>
      <c r="H9" s="21" t="s">
        <v>127</v>
      </c>
      <c r="I9" s="21" t="s">
        <v>127</v>
      </c>
      <c r="J9" s="22" t="s">
        <v>126</v>
      </c>
      <c r="K9" s="22"/>
      <c r="L9" s="22"/>
      <c r="M9" s="3"/>
      <c r="N9" s="3"/>
      <c r="O9" s="3"/>
    </row>
    <row x14ac:dyDescent="0.25" r="10" customHeight="1" ht="18.75">
      <c r="A10" s="6" t="s">
        <v>25</v>
      </c>
      <c r="B10" s="25" t="s">
        <v>125</v>
      </c>
      <c r="C10" s="18">
        <v>800</v>
      </c>
      <c r="D10" s="18">
        <v>6</v>
      </c>
      <c r="E10" s="19">
        <v>13.536000000000001</v>
      </c>
      <c r="F10" s="20" t="s">
        <v>126</v>
      </c>
      <c r="G10" s="20" t="s">
        <v>126</v>
      </c>
      <c r="H10" s="21" t="s">
        <v>127</v>
      </c>
      <c r="I10" s="21" t="s">
        <v>127</v>
      </c>
      <c r="J10" s="22" t="s">
        <v>126</v>
      </c>
      <c r="K10" s="22"/>
      <c r="L10" s="22"/>
      <c r="M10" s="3"/>
      <c r="N10" s="3"/>
      <c r="O10" s="3"/>
    </row>
    <row x14ac:dyDescent="0.25" r="11" customHeight="1" ht="18.75">
      <c r="A11" s="4" t="s">
        <v>27</v>
      </c>
      <c r="B11" s="17" t="s">
        <v>125</v>
      </c>
      <c r="C11" s="18">
        <v>700</v>
      </c>
      <c r="D11" s="18">
        <v>10</v>
      </c>
      <c r="E11" s="19">
        <f>2.06*2.4*4.98</f>
      </c>
      <c r="F11" s="20" t="s">
        <v>126</v>
      </c>
      <c r="G11" s="20" t="s">
        <v>126</v>
      </c>
      <c r="H11" s="21" t="s">
        <v>127</v>
      </c>
      <c r="I11" s="21" t="s">
        <v>127</v>
      </c>
      <c r="J11" s="22" t="s">
        <v>126</v>
      </c>
      <c r="K11" s="22"/>
      <c r="L11" s="22"/>
      <c r="M11" s="3"/>
      <c r="N11" s="3"/>
      <c r="O11" s="3"/>
    </row>
    <row x14ac:dyDescent="0.25" r="12" customHeight="1" ht="18.75">
      <c r="A12" s="5" t="s">
        <v>29</v>
      </c>
      <c r="B12" s="23" t="s">
        <v>128</v>
      </c>
      <c r="C12" s="18">
        <v>2100</v>
      </c>
      <c r="D12" s="18">
        <v>16</v>
      </c>
      <c r="E12" s="24">
        <f>2.48*2.8*6.6</f>
      </c>
      <c r="F12" s="20" t="s">
        <v>126</v>
      </c>
      <c r="G12" s="20" t="s">
        <v>126</v>
      </c>
      <c r="H12" s="20" t="s">
        <v>126</v>
      </c>
      <c r="I12" s="20" t="s">
        <v>126</v>
      </c>
      <c r="J12" s="22" t="s">
        <v>127</v>
      </c>
      <c r="K12" s="22"/>
      <c r="L12" s="22"/>
      <c r="M12" s="3"/>
      <c r="N12" s="3"/>
      <c r="O12" s="3"/>
    </row>
    <row x14ac:dyDescent="0.25" r="13" customHeight="1" ht="18.75">
      <c r="A13" s="5" t="s">
        <v>31</v>
      </c>
      <c r="B13" s="23" t="s">
        <v>128</v>
      </c>
      <c r="C13" s="18">
        <v>5000</v>
      </c>
      <c r="D13" s="18">
        <v>18</v>
      </c>
      <c r="E13" s="24">
        <f>2.48*2.8*7.6</f>
      </c>
      <c r="F13" s="21" t="s">
        <v>127</v>
      </c>
      <c r="G13" s="20" t="s">
        <v>126</v>
      </c>
      <c r="H13" s="20" t="s">
        <v>126</v>
      </c>
      <c r="I13" s="20" t="s">
        <v>126</v>
      </c>
      <c r="J13" s="22" t="s">
        <v>127</v>
      </c>
      <c r="K13" s="22"/>
      <c r="L13" s="22"/>
      <c r="M13" s="3"/>
      <c r="N13" s="3"/>
      <c r="O13" s="3"/>
    </row>
    <row x14ac:dyDescent="0.25" r="14" customHeight="1" ht="18.75">
      <c r="A14" s="4" t="s">
        <v>33</v>
      </c>
      <c r="B14" s="17" t="s">
        <v>125</v>
      </c>
      <c r="C14" s="18">
        <v>700</v>
      </c>
      <c r="D14" s="18">
        <v>10</v>
      </c>
      <c r="E14" s="19">
        <f>2.06*2.4*4.98</f>
      </c>
      <c r="F14" s="20" t="s">
        <v>126</v>
      </c>
      <c r="G14" s="20" t="s">
        <v>126</v>
      </c>
      <c r="H14" s="21" t="s">
        <v>127</v>
      </c>
      <c r="I14" s="21" t="s">
        <v>127</v>
      </c>
      <c r="J14" s="22" t="s">
        <v>126</v>
      </c>
      <c r="K14" s="22"/>
      <c r="L14" s="22"/>
      <c r="M14" s="3"/>
      <c r="N14" s="3"/>
      <c r="O14" s="3"/>
    </row>
    <row x14ac:dyDescent="0.25" r="15" customHeight="1" ht="18.75">
      <c r="A15" s="5" t="s">
        <v>36</v>
      </c>
      <c r="B15" s="23" t="s">
        <v>128</v>
      </c>
      <c r="C15" s="18">
        <v>2100</v>
      </c>
      <c r="D15" s="18">
        <v>16</v>
      </c>
      <c r="E15" s="24">
        <f>2.48*2.8*6.7</f>
      </c>
      <c r="F15" s="20" t="s">
        <v>126</v>
      </c>
      <c r="G15" s="20" t="s">
        <v>126</v>
      </c>
      <c r="H15" s="20" t="s">
        <v>126</v>
      </c>
      <c r="I15" s="20" t="s">
        <v>126</v>
      </c>
      <c r="J15" s="22" t="s">
        <v>127</v>
      </c>
      <c r="K15" s="22"/>
      <c r="L15" s="22"/>
      <c r="M15" s="3"/>
      <c r="N15" s="3"/>
      <c r="O15" s="3"/>
    </row>
    <row x14ac:dyDescent="0.25" r="16" customHeight="1" ht="18.75">
      <c r="A16" s="5" t="s">
        <v>38</v>
      </c>
      <c r="B16" s="23" t="s">
        <v>128</v>
      </c>
      <c r="C16" s="18">
        <v>8000</v>
      </c>
      <c r="D16" s="18">
        <v>18</v>
      </c>
      <c r="E16" s="24">
        <f>2.48*2.8*7.7</f>
      </c>
      <c r="F16" s="21" t="s">
        <v>127</v>
      </c>
      <c r="G16" s="20" t="s">
        <v>126</v>
      </c>
      <c r="H16" s="20" t="s">
        <v>126</v>
      </c>
      <c r="I16" s="20" t="s">
        <v>126</v>
      </c>
      <c r="J16" s="22" t="s">
        <v>127</v>
      </c>
      <c r="K16" s="22"/>
      <c r="L16" s="22"/>
      <c r="M16" s="3"/>
      <c r="N16" s="3"/>
      <c r="O16" s="3"/>
    </row>
    <row x14ac:dyDescent="0.25" r="17" customHeight="1" ht="18.75">
      <c r="A17" s="6" t="s">
        <v>40</v>
      </c>
      <c r="B17" s="25" t="s">
        <v>125</v>
      </c>
      <c r="C17" s="18">
        <v>900</v>
      </c>
      <c r="D17" s="18">
        <v>5</v>
      </c>
      <c r="E17" s="19">
        <f>1.6*1.8*4.3</f>
      </c>
      <c r="F17" s="20" t="s">
        <v>126</v>
      </c>
      <c r="G17" s="20" t="s">
        <v>126</v>
      </c>
      <c r="H17" s="21" t="s">
        <v>127</v>
      </c>
      <c r="I17" s="21" t="s">
        <v>127</v>
      </c>
      <c r="J17" s="22" t="s">
        <v>126</v>
      </c>
      <c r="K17" s="22"/>
      <c r="L17" s="22"/>
      <c r="M17" s="3"/>
      <c r="N17" s="3"/>
      <c r="O17" s="3"/>
    </row>
    <row x14ac:dyDescent="0.25" r="18" customHeight="1" ht="18.75">
      <c r="A18" s="6" t="s">
        <v>42</v>
      </c>
      <c r="B18" s="25" t="s">
        <v>125</v>
      </c>
      <c r="C18" s="18">
        <v>800</v>
      </c>
      <c r="D18" s="18">
        <v>6</v>
      </c>
      <c r="E18" s="19">
        <f>1.6*1.8*4.7</f>
      </c>
      <c r="F18" s="20" t="s">
        <v>126</v>
      </c>
      <c r="G18" s="20" t="s">
        <v>126</v>
      </c>
      <c r="H18" s="21" t="s">
        <v>127</v>
      </c>
      <c r="I18" s="21" t="s">
        <v>127</v>
      </c>
      <c r="J18" s="22" t="s">
        <v>126</v>
      </c>
      <c r="K18" s="22"/>
      <c r="L18" s="22"/>
      <c r="M18" s="3"/>
      <c r="N18" s="3"/>
      <c r="O18" s="3"/>
    </row>
    <row x14ac:dyDescent="0.25" r="19" customHeight="1" ht="18.75">
      <c r="A19" s="5" t="s">
        <v>44</v>
      </c>
      <c r="B19" s="23" t="s">
        <v>128</v>
      </c>
      <c r="C19" s="18">
        <v>8500</v>
      </c>
      <c r="D19" s="18">
        <v>19</v>
      </c>
      <c r="E19" s="24">
        <f>2.48*2.8*7.9</f>
      </c>
      <c r="F19" s="20" t="s">
        <v>126</v>
      </c>
      <c r="G19" s="20" t="s">
        <v>126</v>
      </c>
      <c r="H19" s="20" t="s">
        <v>126</v>
      </c>
      <c r="I19" s="20" t="s">
        <v>126</v>
      </c>
      <c r="J19" s="22" t="s">
        <v>127</v>
      </c>
      <c r="K19" s="22"/>
      <c r="L19" s="22"/>
      <c r="M19" s="3"/>
      <c r="N19" s="3"/>
      <c r="O19" s="3"/>
    </row>
    <row x14ac:dyDescent="0.25" r="20" customHeight="1" ht="18.75">
      <c r="A20" s="6" t="s">
        <v>46</v>
      </c>
      <c r="B20" s="25" t="s">
        <v>125</v>
      </c>
      <c r="C20" s="18">
        <v>800</v>
      </c>
      <c r="D20" s="18">
        <v>6</v>
      </c>
      <c r="E20" s="19">
        <f>1.6*1.8*4.7</f>
      </c>
      <c r="F20" s="20" t="s">
        <v>126</v>
      </c>
      <c r="G20" s="20" t="s">
        <v>126</v>
      </c>
      <c r="H20" s="21" t="s">
        <v>127</v>
      </c>
      <c r="I20" s="21" t="s">
        <v>127</v>
      </c>
      <c r="J20" s="22" t="s">
        <v>126</v>
      </c>
      <c r="K20" s="22"/>
      <c r="L20" s="22"/>
      <c r="M20" s="3"/>
      <c r="N20" s="3"/>
      <c r="O20" s="3"/>
    </row>
    <row x14ac:dyDescent="0.25" r="21" customHeight="1" ht="18.75">
      <c r="A21" s="4" t="s">
        <v>48</v>
      </c>
      <c r="B21" s="17" t="s">
        <v>125</v>
      </c>
      <c r="C21" s="18">
        <v>700</v>
      </c>
      <c r="D21" s="18">
        <v>10</v>
      </c>
      <c r="E21" s="19">
        <f>2.06*2.4*4.98</f>
      </c>
      <c r="F21" s="20" t="s">
        <v>126</v>
      </c>
      <c r="G21" s="20" t="s">
        <v>126</v>
      </c>
      <c r="H21" s="21" t="s">
        <v>127</v>
      </c>
      <c r="I21" s="21" t="s">
        <v>127</v>
      </c>
      <c r="J21" s="22" t="s">
        <v>126</v>
      </c>
      <c r="K21" s="22"/>
      <c r="L21" s="22"/>
      <c r="M21" s="3"/>
      <c r="N21" s="3"/>
      <c r="O21" s="3"/>
    </row>
    <row x14ac:dyDescent="0.25" r="22" customHeight="1" ht="18.75">
      <c r="A22" s="4" t="s">
        <v>50</v>
      </c>
      <c r="B22" s="17" t="s">
        <v>125</v>
      </c>
      <c r="C22" s="18">
        <v>800</v>
      </c>
      <c r="D22" s="18">
        <v>9</v>
      </c>
      <c r="E22" s="24">
        <f>2.2*2.8*4.6</f>
      </c>
      <c r="F22" s="20" t="s">
        <v>126</v>
      </c>
      <c r="G22" s="20" t="s">
        <v>126</v>
      </c>
      <c r="H22" s="20" t="s">
        <v>126</v>
      </c>
      <c r="I22" s="20" t="s">
        <v>126</v>
      </c>
      <c r="J22" s="22" t="s">
        <v>126</v>
      </c>
      <c r="K22" s="22"/>
      <c r="L22" s="22"/>
      <c r="M22" s="3"/>
      <c r="N22" s="3"/>
      <c r="O22" s="3"/>
    </row>
    <row x14ac:dyDescent="0.25" r="23" customHeight="1" ht="18.75">
      <c r="A23" s="4" t="s">
        <v>52</v>
      </c>
      <c r="B23" s="17" t="s">
        <v>125</v>
      </c>
      <c r="C23" s="18">
        <v>700</v>
      </c>
      <c r="D23" s="18">
        <v>9</v>
      </c>
      <c r="E23" s="19">
        <f>2.06*2.3*4.6</f>
      </c>
      <c r="F23" s="21" t="s">
        <v>127</v>
      </c>
      <c r="G23" s="20" t="s">
        <v>126</v>
      </c>
      <c r="H23" s="21" t="s">
        <v>127</v>
      </c>
      <c r="I23" s="21" t="s">
        <v>127</v>
      </c>
      <c r="J23" s="22" t="s">
        <v>126</v>
      </c>
      <c r="K23" s="22"/>
      <c r="L23" s="22"/>
      <c r="M23" s="3"/>
      <c r="N23" s="3"/>
      <c r="O23" s="3"/>
    </row>
    <row x14ac:dyDescent="0.25" r="24" customHeight="1" ht="18.75">
      <c r="A24" s="5" t="s">
        <v>54</v>
      </c>
      <c r="B24" s="23" t="s">
        <v>128</v>
      </c>
      <c r="C24" s="18">
        <v>13500</v>
      </c>
      <c r="D24" s="18">
        <v>23</v>
      </c>
      <c r="E24" s="24">
        <f>2.48*2.8*9.6</f>
      </c>
      <c r="F24" s="21" t="s">
        <v>127</v>
      </c>
      <c r="G24" s="20" t="s">
        <v>126</v>
      </c>
      <c r="H24" s="20" t="s">
        <v>126</v>
      </c>
      <c r="I24" s="20" t="s">
        <v>126</v>
      </c>
      <c r="J24" s="22" t="s">
        <v>127</v>
      </c>
      <c r="K24" s="22"/>
      <c r="L24" s="22"/>
      <c r="M24" s="3"/>
      <c r="N24" s="3"/>
      <c r="O24" s="3"/>
    </row>
    <row x14ac:dyDescent="0.25" r="25" customHeight="1" ht="18.75">
      <c r="A25" s="6" t="s">
        <v>58</v>
      </c>
      <c r="B25" s="25" t="s">
        <v>125</v>
      </c>
      <c r="C25" s="18">
        <v>800</v>
      </c>
      <c r="D25" s="18">
        <v>6</v>
      </c>
      <c r="E25" s="19">
        <f>1.6*1.8*4.7</f>
      </c>
      <c r="F25" s="20" t="s">
        <v>126</v>
      </c>
      <c r="G25" s="20" t="s">
        <v>126</v>
      </c>
      <c r="H25" s="21" t="s">
        <v>127</v>
      </c>
      <c r="I25" s="21" t="s">
        <v>127</v>
      </c>
      <c r="J25" s="22" t="s">
        <v>126</v>
      </c>
      <c r="K25" s="22"/>
      <c r="L25" s="22"/>
      <c r="M25" s="3"/>
      <c r="N25" s="3"/>
      <c r="O25" s="3"/>
    </row>
    <row x14ac:dyDescent="0.25" r="26" customHeight="1" ht="18.75">
      <c r="A26" s="4" t="s">
        <v>60</v>
      </c>
      <c r="B26" s="17" t="s">
        <v>125</v>
      </c>
      <c r="C26" s="18">
        <v>700</v>
      </c>
      <c r="D26" s="18">
        <v>6</v>
      </c>
      <c r="E26" s="19">
        <f>2.06*2.1*3.2</f>
      </c>
      <c r="F26" s="20" t="s">
        <v>126</v>
      </c>
      <c r="G26" s="21" t="s">
        <v>127</v>
      </c>
      <c r="H26" s="21" t="s">
        <v>127</v>
      </c>
      <c r="I26" s="20" t="s">
        <v>126</v>
      </c>
      <c r="J26" s="22" t="s">
        <v>126</v>
      </c>
      <c r="K26" s="22"/>
      <c r="L26" s="22"/>
      <c r="M26" s="3"/>
      <c r="N26" s="3"/>
      <c r="O26" s="3"/>
    </row>
    <row x14ac:dyDescent="0.25" r="27" customHeight="1" ht="18.75">
      <c r="A27" s="4" t="s">
        <v>62</v>
      </c>
      <c r="B27" s="17" t="s">
        <v>125</v>
      </c>
      <c r="C27" s="18">
        <v>700</v>
      </c>
      <c r="D27" s="18">
        <v>10</v>
      </c>
      <c r="E27" s="24">
        <f>2.2*2.8*4.97</f>
      </c>
      <c r="F27" s="20" t="s">
        <v>126</v>
      </c>
      <c r="G27" s="20" t="s">
        <v>126</v>
      </c>
      <c r="H27" s="20" t="s">
        <v>126</v>
      </c>
      <c r="I27" s="20" t="s">
        <v>126</v>
      </c>
      <c r="J27" s="22" t="s">
        <v>126</v>
      </c>
      <c r="K27" s="22"/>
      <c r="L27" s="22"/>
      <c r="M27" s="3"/>
      <c r="N27" s="3"/>
      <c r="O27" s="3"/>
    </row>
    <row x14ac:dyDescent="0.25" r="28" customHeight="1" ht="18.75">
      <c r="A28" s="8" t="s">
        <v>68</v>
      </c>
      <c r="B28" s="26" t="s">
        <v>128</v>
      </c>
      <c r="C28" s="18">
        <v>44000</v>
      </c>
      <c r="D28" s="18">
        <v>38</v>
      </c>
      <c r="E28" s="19">
        <f>2.8*2.48*(7.7+7.7)</f>
      </c>
      <c r="F28" s="22" t="s">
        <v>126</v>
      </c>
      <c r="G28" s="20" t="s">
        <v>126</v>
      </c>
      <c r="H28" s="20" t="s">
        <v>126</v>
      </c>
      <c r="I28" s="20" t="s">
        <v>126</v>
      </c>
      <c r="J28" s="22" t="s">
        <v>127</v>
      </c>
      <c r="K28" s="22"/>
      <c r="L28" s="22"/>
      <c r="M28" s="3"/>
      <c r="N28" s="3"/>
      <c r="O28" s="3"/>
    </row>
    <row x14ac:dyDescent="0.25" r="29" customHeight="1" ht="18.75">
      <c r="A29" s="6" t="s">
        <v>70</v>
      </c>
      <c r="B29" s="25" t="s">
        <v>125</v>
      </c>
      <c r="C29" s="18">
        <v>1000</v>
      </c>
      <c r="D29" s="18">
        <v>4</v>
      </c>
      <c r="E29" s="19">
        <f>1.6*1.8*3.2</f>
      </c>
      <c r="F29" s="20" t="s">
        <v>126</v>
      </c>
      <c r="G29" s="20" t="s">
        <v>126</v>
      </c>
      <c r="H29" s="21" t="s">
        <v>127</v>
      </c>
      <c r="I29" s="20" t="s">
        <v>126</v>
      </c>
      <c r="J29" s="22" t="s">
        <v>126</v>
      </c>
      <c r="K29" s="22"/>
      <c r="L29" s="22"/>
      <c r="M29" s="3"/>
      <c r="N29" s="3"/>
      <c r="O29" s="3"/>
    </row>
    <row x14ac:dyDescent="0.25" r="30" customHeight="1" ht="18.75">
      <c r="A30" s="4" t="s">
        <v>72</v>
      </c>
      <c r="B30" s="17" t="s">
        <v>125</v>
      </c>
      <c r="C30" s="18">
        <v>700</v>
      </c>
      <c r="D30" s="18">
        <v>10</v>
      </c>
      <c r="E30" s="19">
        <f>2.06*2.4*4.98</f>
      </c>
      <c r="F30" s="20" t="s">
        <v>126</v>
      </c>
      <c r="G30" s="20" t="s">
        <v>126</v>
      </c>
      <c r="H30" s="21" t="s">
        <v>127</v>
      </c>
      <c r="I30" s="21" t="s">
        <v>127</v>
      </c>
      <c r="J30" s="22" t="s">
        <v>126</v>
      </c>
      <c r="K30" s="22"/>
      <c r="L30" s="22"/>
      <c r="M30" s="3"/>
      <c r="N30" s="3"/>
      <c r="O30" s="3"/>
    </row>
    <row x14ac:dyDescent="0.25" r="31" customHeight="1" ht="18.75">
      <c r="A31" s="5" t="s">
        <v>74</v>
      </c>
      <c r="B31" s="23" t="s">
        <v>128</v>
      </c>
      <c r="C31" s="18">
        <v>8000</v>
      </c>
      <c r="D31" s="18">
        <v>20</v>
      </c>
      <c r="E31" s="24">
        <f>2.48*2.8*8.2</f>
      </c>
      <c r="F31" s="21" t="s">
        <v>127</v>
      </c>
      <c r="G31" s="20" t="s">
        <v>126</v>
      </c>
      <c r="H31" s="20" t="s">
        <v>126</v>
      </c>
      <c r="I31" s="20" t="s">
        <v>126</v>
      </c>
      <c r="J31" s="22" t="s">
        <v>127</v>
      </c>
      <c r="K31" s="22"/>
      <c r="L31" s="22"/>
      <c r="M31" s="3"/>
      <c r="N31" s="3"/>
      <c r="O31" s="3"/>
    </row>
    <row x14ac:dyDescent="0.25" r="32" customHeight="1" ht="18.75">
      <c r="A32" s="4" t="s">
        <v>76</v>
      </c>
      <c r="B32" s="17" t="s">
        <v>125</v>
      </c>
      <c r="C32" s="18">
        <v>700</v>
      </c>
      <c r="D32" s="18">
        <v>10</v>
      </c>
      <c r="E32" s="19">
        <f>2.06*2.4*4.98</f>
      </c>
      <c r="F32" s="20" t="s">
        <v>126</v>
      </c>
      <c r="G32" s="20" t="s">
        <v>126</v>
      </c>
      <c r="H32" s="21" t="s">
        <v>127</v>
      </c>
      <c r="I32" s="21" t="s">
        <v>127</v>
      </c>
      <c r="J32" s="22" t="s">
        <v>126</v>
      </c>
      <c r="K32" s="22"/>
      <c r="L32" s="22"/>
      <c r="M32" s="3"/>
      <c r="N32" s="3"/>
      <c r="O32" s="3"/>
    </row>
    <row x14ac:dyDescent="0.25" r="33" customHeight="1" ht="18.75">
      <c r="A33" s="4" t="s">
        <v>78</v>
      </c>
      <c r="B33" s="17" t="s">
        <v>125</v>
      </c>
      <c r="C33" s="18">
        <v>700</v>
      </c>
      <c r="D33" s="18">
        <v>10</v>
      </c>
      <c r="E33" s="24">
        <f>2.2*2.8*4.97</f>
      </c>
      <c r="F33" s="20" t="s">
        <v>126</v>
      </c>
      <c r="G33" s="20" t="s">
        <v>126</v>
      </c>
      <c r="H33" s="20" t="s">
        <v>126</v>
      </c>
      <c r="I33" s="20" t="s">
        <v>126</v>
      </c>
      <c r="J33" s="22" t="s">
        <v>126</v>
      </c>
      <c r="K33" s="22"/>
      <c r="L33" s="22"/>
      <c r="M33" s="3"/>
      <c r="N33" s="3"/>
      <c r="O33" s="3"/>
    </row>
    <row x14ac:dyDescent="0.25" r="34" customHeight="1" ht="18.75">
      <c r="A34" s="4" t="s">
        <v>80</v>
      </c>
      <c r="B34" s="17" t="s">
        <v>125</v>
      </c>
      <c r="C34" s="18">
        <v>700</v>
      </c>
      <c r="D34" s="18">
        <v>10</v>
      </c>
      <c r="E34" s="24">
        <f>2.2*2.8*4.97</f>
      </c>
      <c r="F34" s="20" t="s">
        <v>126</v>
      </c>
      <c r="G34" s="20" t="s">
        <v>126</v>
      </c>
      <c r="H34" s="20" t="s">
        <v>126</v>
      </c>
      <c r="I34" s="20" t="s">
        <v>126</v>
      </c>
      <c r="J34" s="22" t="s">
        <v>126</v>
      </c>
      <c r="K34" s="22"/>
      <c r="L34" s="22"/>
      <c r="M34" s="3"/>
      <c r="N34" s="3"/>
      <c r="O34" s="3"/>
    </row>
    <row x14ac:dyDescent="0.25" r="35" customHeight="1" ht="18.75">
      <c r="A35" s="4" t="s">
        <v>82</v>
      </c>
      <c r="B35" s="17" t="s">
        <v>125</v>
      </c>
      <c r="C35" s="18">
        <v>700</v>
      </c>
      <c r="D35" s="18">
        <v>10</v>
      </c>
      <c r="E35" s="24">
        <f>2.2*2.8*4.97</f>
      </c>
      <c r="F35" s="21" t="s">
        <v>127</v>
      </c>
      <c r="G35" s="20" t="s">
        <v>126</v>
      </c>
      <c r="H35" s="20" t="s">
        <v>126</v>
      </c>
      <c r="I35" s="20" t="s">
        <v>126</v>
      </c>
      <c r="J35" s="22" t="s">
        <v>126</v>
      </c>
      <c r="K35" s="22"/>
      <c r="L35" s="22"/>
      <c r="M35" s="3"/>
      <c r="N35" s="3"/>
      <c r="O35" s="3"/>
    </row>
    <row x14ac:dyDescent="0.25" r="36" customHeight="1" ht="18.75">
      <c r="A36" s="4" t="s">
        <v>84</v>
      </c>
      <c r="B36" s="17" t="s">
        <v>125</v>
      </c>
      <c r="C36" s="18">
        <v>800</v>
      </c>
      <c r="D36" s="18">
        <v>9</v>
      </c>
      <c r="E36" s="19">
        <f>2.04*2.3*4.6</f>
      </c>
      <c r="F36" s="20" t="s">
        <v>126</v>
      </c>
      <c r="G36" s="20" t="s">
        <v>126</v>
      </c>
      <c r="H36" s="21" t="s">
        <v>127</v>
      </c>
      <c r="I36" s="21" t="s">
        <v>127</v>
      </c>
      <c r="J36" s="22" t="s">
        <v>126</v>
      </c>
      <c r="K36" s="22"/>
      <c r="L36" s="22"/>
      <c r="M36" s="3"/>
      <c r="N36" s="3"/>
      <c r="O36" s="3"/>
    </row>
    <row x14ac:dyDescent="0.25" r="37" customHeight="1" ht="18.75">
      <c r="A37" s="4" t="s">
        <v>86</v>
      </c>
      <c r="B37" s="17" t="s">
        <v>125</v>
      </c>
      <c r="C37" s="18">
        <v>700</v>
      </c>
      <c r="D37" s="18">
        <v>8</v>
      </c>
      <c r="E37" s="19">
        <f>2.06*2.1*4.2</f>
      </c>
      <c r="F37" s="21" t="s">
        <v>127</v>
      </c>
      <c r="G37" s="21" t="s">
        <v>127</v>
      </c>
      <c r="H37" s="21" t="s">
        <v>127</v>
      </c>
      <c r="I37" s="20" t="s">
        <v>126</v>
      </c>
      <c r="J37" s="22" t="s">
        <v>126</v>
      </c>
      <c r="K37" s="22"/>
      <c r="L37" s="22"/>
      <c r="M37" s="3"/>
      <c r="N37" s="3"/>
      <c r="O37" s="3"/>
    </row>
    <row x14ac:dyDescent="0.25" r="38" customHeight="1" ht="18.75">
      <c r="A38" s="4" t="s">
        <v>88</v>
      </c>
      <c r="B38" s="17" t="s">
        <v>125</v>
      </c>
      <c r="C38" s="18">
        <v>700</v>
      </c>
      <c r="D38" s="18">
        <v>10</v>
      </c>
      <c r="E38" s="24">
        <f>2.2*2.8*4.97</f>
      </c>
      <c r="F38" s="21" t="s">
        <v>127</v>
      </c>
      <c r="G38" s="20" t="s">
        <v>126</v>
      </c>
      <c r="H38" s="20" t="s">
        <v>126</v>
      </c>
      <c r="I38" s="20" t="s">
        <v>126</v>
      </c>
      <c r="J38" s="22" t="s">
        <v>126</v>
      </c>
      <c r="K38" s="22"/>
      <c r="L38" s="22"/>
      <c r="M38" s="3"/>
      <c r="N38" s="3"/>
      <c r="O38" s="3"/>
    </row>
    <row x14ac:dyDescent="0.25" r="39" customHeight="1" ht="18.75">
      <c r="A39" s="4" t="s">
        <v>92</v>
      </c>
      <c r="B39" s="17" t="s">
        <v>125</v>
      </c>
      <c r="C39" s="18">
        <v>700</v>
      </c>
      <c r="D39" s="18">
        <v>10</v>
      </c>
      <c r="E39" s="24">
        <f>2.2*2.8*4.97</f>
      </c>
      <c r="F39" s="21" t="s">
        <v>127</v>
      </c>
      <c r="G39" s="20" t="s">
        <v>126</v>
      </c>
      <c r="H39" s="20" t="s">
        <v>126</v>
      </c>
      <c r="I39" s="20" t="s">
        <v>126</v>
      </c>
      <c r="J39" s="22" t="s">
        <v>126</v>
      </c>
      <c r="K39" s="22"/>
      <c r="L39" s="22"/>
      <c r="M39" s="3"/>
      <c r="N39" s="3"/>
      <c r="O39" s="3"/>
    </row>
    <row x14ac:dyDescent="0.25" r="40" customHeight="1" ht="18.75">
      <c r="A40" s="4" t="s">
        <v>94</v>
      </c>
      <c r="B40" s="17" t="s">
        <v>125</v>
      </c>
      <c r="C40" s="18">
        <v>700</v>
      </c>
      <c r="D40" s="18">
        <v>10</v>
      </c>
      <c r="E40" s="19">
        <f>2.06*2.4*4.98</f>
      </c>
      <c r="F40" s="20" t="s">
        <v>126</v>
      </c>
      <c r="G40" s="20" t="s">
        <v>126</v>
      </c>
      <c r="H40" s="21" t="s">
        <v>127</v>
      </c>
      <c r="I40" s="21" t="s">
        <v>127</v>
      </c>
      <c r="J40" s="22" t="s">
        <v>126</v>
      </c>
      <c r="K40" s="22"/>
      <c r="L40" s="22"/>
      <c r="M40" s="3"/>
      <c r="N40" s="3"/>
      <c r="O40" s="3"/>
    </row>
    <row x14ac:dyDescent="0.25" r="41" customHeight="1" ht="18.75">
      <c r="A41" s="4" t="s">
        <v>96</v>
      </c>
      <c r="B41" s="17" t="s">
        <v>125</v>
      </c>
      <c r="C41" s="18">
        <v>700</v>
      </c>
      <c r="D41" s="18">
        <v>8</v>
      </c>
      <c r="E41" s="19">
        <f>2.06*2.1*4.2</f>
      </c>
      <c r="F41" s="20" t="s">
        <v>126</v>
      </c>
      <c r="G41" s="21" t="s">
        <v>127</v>
      </c>
      <c r="H41" s="21" t="s">
        <v>127</v>
      </c>
      <c r="I41" s="20" t="s">
        <v>126</v>
      </c>
      <c r="J41" s="22" t="s">
        <v>126</v>
      </c>
      <c r="K41" s="22"/>
      <c r="L41" s="22"/>
      <c r="M41" s="3"/>
      <c r="N41" s="3"/>
      <c r="O41" s="3"/>
    </row>
    <row x14ac:dyDescent="0.25" r="42" customHeight="1" ht="18.75">
      <c r="A42" s="4" t="s">
        <v>98</v>
      </c>
      <c r="B42" s="17" t="s">
        <v>125</v>
      </c>
      <c r="C42" s="18">
        <v>700</v>
      </c>
      <c r="D42" s="18">
        <v>10</v>
      </c>
      <c r="E42" s="19">
        <f>2.06*2.4*4.98</f>
      </c>
      <c r="F42" s="20" t="s">
        <v>126</v>
      </c>
      <c r="G42" s="20" t="s">
        <v>126</v>
      </c>
      <c r="H42" s="21" t="s">
        <v>127</v>
      </c>
      <c r="I42" s="21" t="s">
        <v>127</v>
      </c>
      <c r="J42" s="22" t="s">
        <v>126</v>
      </c>
      <c r="K42" s="22"/>
      <c r="L42" s="22"/>
      <c r="M42" s="3"/>
      <c r="N42" s="3"/>
      <c r="O42" s="3"/>
    </row>
    <row x14ac:dyDescent="0.25" r="43" customHeight="1" ht="18.75">
      <c r="A43" s="4" t="s">
        <v>100</v>
      </c>
      <c r="B43" s="17" t="s">
        <v>125</v>
      </c>
      <c r="C43" s="18">
        <v>700</v>
      </c>
      <c r="D43" s="18">
        <v>8</v>
      </c>
      <c r="E43" s="19">
        <f>2.06*2.1*4.2</f>
      </c>
      <c r="F43" s="20" t="s">
        <v>126</v>
      </c>
      <c r="G43" s="21" t="s">
        <v>127</v>
      </c>
      <c r="H43" s="21" t="s">
        <v>127</v>
      </c>
      <c r="I43" s="20" t="s">
        <v>126</v>
      </c>
      <c r="J43" s="22" t="s">
        <v>126</v>
      </c>
      <c r="K43" s="22"/>
      <c r="L43" s="22"/>
      <c r="M43" s="3"/>
      <c r="N43" s="3"/>
      <c r="O43" s="3"/>
    </row>
    <row x14ac:dyDescent="0.25" r="44" customHeight="1" ht="18.75">
      <c r="A44" s="4" t="s">
        <v>102</v>
      </c>
      <c r="B44" s="17" t="s">
        <v>125</v>
      </c>
      <c r="C44" s="18">
        <v>700</v>
      </c>
      <c r="D44" s="18">
        <v>10</v>
      </c>
      <c r="E44" s="27">
        <f>2.2*2.8*4.97</f>
      </c>
      <c r="F44" s="20" t="s">
        <v>126</v>
      </c>
      <c r="G44" s="20" t="s">
        <v>126</v>
      </c>
      <c r="H44" s="20" t="s">
        <v>126</v>
      </c>
      <c r="I44" s="20" t="s">
        <v>126</v>
      </c>
      <c r="J44" s="22" t="s">
        <v>126</v>
      </c>
      <c r="K44" s="22"/>
      <c r="L44" s="22"/>
      <c r="M44" s="3"/>
      <c r="N44" s="3"/>
      <c r="O44" s="3"/>
    </row>
    <row x14ac:dyDescent="0.25" r="45" customHeight="1" ht="18.75">
      <c r="A45" s="6" t="s">
        <v>104</v>
      </c>
      <c r="B45" s="25" t="s">
        <v>125</v>
      </c>
      <c r="C45" s="18">
        <v>800</v>
      </c>
      <c r="D45" s="18">
        <v>4</v>
      </c>
      <c r="E45" s="19">
        <f>1.55*1.65*3.2</f>
      </c>
      <c r="F45" s="20" t="s">
        <v>126</v>
      </c>
      <c r="G45" s="21" t="s">
        <v>127</v>
      </c>
      <c r="H45" s="21" t="s">
        <v>127</v>
      </c>
      <c r="I45" s="20" t="s">
        <v>126</v>
      </c>
      <c r="J45" s="22" t="s">
        <v>126</v>
      </c>
      <c r="K45" s="22"/>
      <c r="L45" s="22"/>
      <c r="M45" s="3"/>
      <c r="N45" s="3"/>
      <c r="O45" s="3"/>
    </row>
    <row x14ac:dyDescent="0.25" r="46" customHeight="1" ht="18.75">
      <c r="A46" s="4" t="s">
        <v>106</v>
      </c>
      <c r="B46" s="17" t="s">
        <v>125</v>
      </c>
      <c r="C46" s="18">
        <v>700</v>
      </c>
      <c r="D46" s="18">
        <v>10</v>
      </c>
      <c r="E46" s="19">
        <f>2.06*2.4*4.98</f>
      </c>
      <c r="F46" s="20" t="s">
        <v>126</v>
      </c>
      <c r="G46" s="20" t="s">
        <v>126</v>
      </c>
      <c r="H46" s="21" t="s">
        <v>127</v>
      </c>
      <c r="I46" s="21" t="s">
        <v>127</v>
      </c>
      <c r="J46" s="22" t="s">
        <v>126</v>
      </c>
      <c r="K46" s="22"/>
      <c r="L46" s="22"/>
      <c r="M46" s="3"/>
      <c r="N46" s="3"/>
      <c r="O46" s="3"/>
    </row>
    <row x14ac:dyDescent="0.25" r="47" customHeight="1" ht="18.75">
      <c r="A47" s="4" t="s">
        <v>108</v>
      </c>
      <c r="B47" s="17" t="s">
        <v>125</v>
      </c>
      <c r="C47" s="18">
        <v>700</v>
      </c>
      <c r="D47" s="18">
        <v>10</v>
      </c>
      <c r="E47" s="24">
        <f>2.2*2.8*4.97</f>
      </c>
      <c r="F47" s="21" t="s">
        <v>127</v>
      </c>
      <c r="G47" s="20" t="s">
        <v>126</v>
      </c>
      <c r="H47" s="20" t="s">
        <v>126</v>
      </c>
      <c r="I47" s="20" t="s">
        <v>126</v>
      </c>
      <c r="J47" s="22" t="s">
        <v>126</v>
      </c>
      <c r="K47" s="22"/>
      <c r="L47" s="22"/>
      <c r="M47" s="3"/>
      <c r="N47" s="3"/>
      <c r="O47" s="3"/>
    </row>
    <row x14ac:dyDescent="0.25" r="48" customHeight="1" ht="18.75">
      <c r="A48" s="4" t="s">
        <v>110</v>
      </c>
      <c r="B48" s="17" t="s">
        <v>125</v>
      </c>
      <c r="C48" s="18">
        <v>700</v>
      </c>
      <c r="D48" s="18">
        <v>10</v>
      </c>
      <c r="E48" s="24">
        <f>2.2*2.8*4.97</f>
      </c>
      <c r="F48" s="20" t="s">
        <v>126</v>
      </c>
      <c r="G48" s="20" t="s">
        <v>126</v>
      </c>
      <c r="H48" s="20" t="s">
        <v>126</v>
      </c>
      <c r="I48" s="20" t="s">
        <v>126</v>
      </c>
      <c r="J48" s="22" t="s">
        <v>126</v>
      </c>
      <c r="K48" s="22"/>
      <c r="L48" s="22"/>
      <c r="M48" s="3"/>
      <c r="N48" s="3"/>
      <c r="O48" s="3"/>
    </row>
    <row x14ac:dyDescent="0.25" r="49" customHeight="1" ht="18.75">
      <c r="A49" s="4" t="s">
        <v>112</v>
      </c>
      <c r="B49" s="17" t="s">
        <v>125</v>
      </c>
      <c r="C49" s="18">
        <v>800</v>
      </c>
      <c r="D49" s="18">
        <v>9</v>
      </c>
      <c r="E49" s="24">
        <f>2.2*2.8*4.6</f>
      </c>
      <c r="F49" s="20" t="s">
        <v>126</v>
      </c>
      <c r="G49" s="20" t="s">
        <v>126</v>
      </c>
      <c r="H49" s="20" t="s">
        <v>126</v>
      </c>
      <c r="I49" s="20" t="s">
        <v>126</v>
      </c>
      <c r="J49" s="22" t="s">
        <v>126</v>
      </c>
      <c r="K49" s="22"/>
      <c r="L49" s="22"/>
      <c r="M49" s="3"/>
      <c r="N49" s="3"/>
      <c r="O49" s="3"/>
    </row>
    <row x14ac:dyDescent="0.25" r="50" customHeight="1" ht="18.75">
      <c r="A50" s="4" t="s">
        <v>114</v>
      </c>
      <c r="B50" s="17" t="s">
        <v>125</v>
      </c>
      <c r="C50" s="18">
        <v>600</v>
      </c>
      <c r="D50" s="18">
        <v>9</v>
      </c>
      <c r="E50" s="19">
        <f>2.06*2.1*4.6</f>
      </c>
      <c r="F50" s="20" t="s">
        <v>126</v>
      </c>
      <c r="G50" s="21" t="s">
        <v>127</v>
      </c>
      <c r="H50" s="21" t="s">
        <v>127</v>
      </c>
      <c r="I50" s="20" t="s">
        <v>126</v>
      </c>
      <c r="J50" s="22" t="s">
        <v>126</v>
      </c>
      <c r="K50" s="22"/>
      <c r="L50" s="22"/>
      <c r="M50" s="3"/>
      <c r="N50" s="3"/>
      <c r="O50" s="3"/>
    </row>
    <row x14ac:dyDescent="0.25" r="51" customHeight="1" ht="18.75">
      <c r="A51" s="2" t="s">
        <v>3</v>
      </c>
      <c r="B51" s="28" t="s">
        <v>128</v>
      </c>
      <c r="C51" s="18">
        <v>32700</v>
      </c>
      <c r="D51" s="18">
        <v>33</v>
      </c>
      <c r="E51" s="19">
        <f>2.48*2.7*13.6</f>
      </c>
      <c r="F51" s="20" t="s">
        <v>126</v>
      </c>
      <c r="G51" s="20" t="s">
        <v>126</v>
      </c>
      <c r="H51" s="20" t="s">
        <v>126</v>
      </c>
      <c r="I51" s="20" t="s">
        <v>126</v>
      </c>
      <c r="J51" s="22" t="s">
        <v>127</v>
      </c>
      <c r="K51" s="22"/>
      <c r="L51" s="22"/>
      <c r="M51" s="3"/>
      <c r="N51" s="3"/>
      <c r="O51" s="3"/>
    </row>
    <row x14ac:dyDescent="0.25" r="52" customHeight="1" ht="18.75">
      <c r="A52" s="2" t="s">
        <v>19</v>
      </c>
      <c r="B52" s="28" t="s">
        <v>128</v>
      </c>
      <c r="C52" s="18">
        <v>32000</v>
      </c>
      <c r="D52" s="18">
        <v>33</v>
      </c>
      <c r="E52" s="19">
        <f>2.48*2.7*13.6</f>
      </c>
      <c r="F52" s="21" t="s">
        <v>127</v>
      </c>
      <c r="G52" s="20" t="s">
        <v>126</v>
      </c>
      <c r="H52" s="20" t="s">
        <v>126</v>
      </c>
      <c r="I52" s="20" t="s">
        <v>126</v>
      </c>
      <c r="J52" s="22" t="s">
        <v>127</v>
      </c>
      <c r="K52" s="22"/>
      <c r="L52" s="22"/>
      <c r="M52" s="3"/>
      <c r="N52" s="3"/>
      <c r="O52" s="3"/>
    </row>
    <row x14ac:dyDescent="0.25" r="53" customHeight="1" ht="18.75">
      <c r="A53" s="2" t="s">
        <v>56</v>
      </c>
      <c r="B53" s="28" t="s">
        <v>128</v>
      </c>
      <c r="C53" s="18">
        <v>32700</v>
      </c>
      <c r="D53" s="18">
        <v>33</v>
      </c>
      <c r="E53" s="19">
        <f>2.48*2.6*13.6</f>
      </c>
      <c r="F53" s="21" t="s">
        <v>127</v>
      </c>
      <c r="G53" s="21" t="s">
        <v>127</v>
      </c>
      <c r="H53" s="21" t="s">
        <v>127</v>
      </c>
      <c r="I53" s="20" t="s">
        <v>126</v>
      </c>
      <c r="J53" s="22" t="s">
        <v>127</v>
      </c>
      <c r="K53" s="22"/>
      <c r="L53" s="22"/>
      <c r="M53" s="3"/>
      <c r="N53" s="3"/>
      <c r="O53" s="3"/>
    </row>
    <row x14ac:dyDescent="0.25" r="54" customHeight="1" ht="18.75">
      <c r="A54" s="2" t="s">
        <v>64</v>
      </c>
      <c r="B54" s="28" t="s">
        <v>128</v>
      </c>
      <c r="C54" s="18">
        <v>32700</v>
      </c>
      <c r="D54" s="18">
        <v>33</v>
      </c>
      <c r="E54" s="19">
        <f>2.48*2.7*13.6</f>
      </c>
      <c r="F54" s="20" t="s">
        <v>126</v>
      </c>
      <c r="G54" s="20" t="s">
        <v>126</v>
      </c>
      <c r="H54" s="20" t="s">
        <v>126</v>
      </c>
      <c r="I54" s="20" t="s">
        <v>126</v>
      </c>
      <c r="J54" s="22" t="s">
        <v>127</v>
      </c>
      <c r="K54" s="22"/>
      <c r="L54" s="22"/>
      <c r="M54" s="3"/>
      <c r="N54" s="3"/>
      <c r="O54" s="3"/>
    </row>
    <row x14ac:dyDescent="0.25" r="55" customHeight="1" ht="18.75">
      <c r="A55" s="2" t="s">
        <v>66</v>
      </c>
      <c r="B55" s="28" t="s">
        <v>128</v>
      </c>
      <c r="C55" s="18">
        <v>24300</v>
      </c>
      <c r="D55" s="18">
        <v>27</v>
      </c>
      <c r="E55" s="19">
        <f>2.48*2.7*11</f>
      </c>
      <c r="F55" s="21" t="s">
        <v>127</v>
      </c>
      <c r="G55" s="20" t="s">
        <v>126</v>
      </c>
      <c r="H55" s="20" t="s">
        <v>126</v>
      </c>
      <c r="I55" s="20" t="s">
        <v>126</v>
      </c>
      <c r="J55" s="22" t="s">
        <v>127</v>
      </c>
      <c r="K55" s="22"/>
      <c r="L55" s="22"/>
      <c r="M55" s="3"/>
      <c r="N55" s="3"/>
      <c r="O55" s="3"/>
    </row>
    <row x14ac:dyDescent="0.25" r="56" customHeight="1" ht="18.75">
      <c r="A56" s="2" t="s">
        <v>90</v>
      </c>
      <c r="B56" s="28" t="s">
        <v>128</v>
      </c>
      <c r="C56" s="18">
        <v>32700</v>
      </c>
      <c r="D56" s="18">
        <v>33</v>
      </c>
      <c r="E56" s="19">
        <f>2.48*2.7*13.6</f>
      </c>
      <c r="F56" s="20" t="s">
        <v>126</v>
      </c>
      <c r="G56" s="20" t="s">
        <v>126</v>
      </c>
      <c r="H56" s="20" t="s">
        <v>126</v>
      </c>
      <c r="I56" s="20" t="s">
        <v>126</v>
      </c>
      <c r="J56" s="22" t="s">
        <v>127</v>
      </c>
      <c r="K56" s="22"/>
      <c r="L56" s="22"/>
      <c r="M56" s="3"/>
      <c r="N56" s="3"/>
      <c r="O56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6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2" width="24.290714285714284" customWidth="1" bestFit="1"/>
    <col min="2" max="2" style="13" width="18.433571428571426" customWidth="1" bestFit="1"/>
    <col min="3" max="3" style="13" width="12.147857142857141" customWidth="1" bestFit="1"/>
  </cols>
  <sheetData>
    <row x14ac:dyDescent="0.25" r="1" customHeight="1" ht="18.75">
      <c r="A1" s="1" t="s">
        <v>0</v>
      </c>
      <c r="B1" s="1" t="s">
        <v>1</v>
      </c>
      <c r="C1" s="1" t="s">
        <v>2</v>
      </c>
    </row>
    <row x14ac:dyDescent="0.25" r="2" customHeight="1" ht="18.75">
      <c r="A2" s="2" t="s">
        <v>3</v>
      </c>
      <c r="B2" s="3" t="s">
        <v>4</v>
      </c>
      <c r="C2" s="3" t="s">
        <v>5</v>
      </c>
    </row>
    <row x14ac:dyDescent="0.25" r="3" customHeight="1" ht="18.75">
      <c r="A3" s="4" t="s">
        <v>6</v>
      </c>
      <c r="B3" s="3" t="s">
        <v>7</v>
      </c>
      <c r="C3" s="3" t="s">
        <v>8</v>
      </c>
    </row>
    <row x14ac:dyDescent="0.25" r="4" customHeight="1" ht="18.75">
      <c r="A4" s="5" t="s">
        <v>9</v>
      </c>
      <c r="B4" s="3" t="s">
        <v>10</v>
      </c>
      <c r="C4" s="3" t="s">
        <v>5</v>
      </c>
    </row>
    <row x14ac:dyDescent="0.25" r="5" customHeight="1" ht="18.75">
      <c r="A5" s="4" t="s">
        <v>11</v>
      </c>
      <c r="B5" s="3" t="s">
        <v>12</v>
      </c>
      <c r="C5" s="3" t="s">
        <v>8</v>
      </c>
    </row>
    <row x14ac:dyDescent="0.25" r="6" customHeight="1" ht="18.75">
      <c r="A6" s="5" t="s">
        <v>13</v>
      </c>
      <c r="B6" s="3" t="s">
        <v>14</v>
      </c>
      <c r="C6" s="3" t="s">
        <v>5</v>
      </c>
    </row>
    <row x14ac:dyDescent="0.25" r="7" customHeight="1" ht="18.75">
      <c r="A7" s="6" t="s">
        <v>15</v>
      </c>
      <c r="B7" s="3" t="s">
        <v>16</v>
      </c>
      <c r="C7" s="3" t="s">
        <v>8</v>
      </c>
    </row>
    <row x14ac:dyDescent="0.25" r="8" customHeight="1" ht="18.75">
      <c r="A8" s="4" t="s">
        <v>17</v>
      </c>
      <c r="B8" s="3" t="s">
        <v>18</v>
      </c>
      <c r="C8" s="3" t="s">
        <v>8</v>
      </c>
    </row>
    <row x14ac:dyDescent="0.25" r="9" customHeight="1" ht="18.75">
      <c r="A9" s="2" t="s">
        <v>19</v>
      </c>
      <c r="B9" s="3" t="s">
        <v>20</v>
      </c>
      <c r="C9" s="3" t="s">
        <v>5</v>
      </c>
    </row>
    <row x14ac:dyDescent="0.25" r="10" customHeight="1" ht="18.75">
      <c r="A10" s="4" t="s">
        <v>21</v>
      </c>
      <c r="B10" s="3" t="s">
        <v>22</v>
      </c>
      <c r="C10" s="3" t="s">
        <v>8</v>
      </c>
    </row>
    <row x14ac:dyDescent="0.25" r="11" customHeight="1" ht="18.75">
      <c r="A11" s="6" t="s">
        <v>23</v>
      </c>
      <c r="B11" s="3" t="s">
        <v>24</v>
      </c>
      <c r="C11" s="3" t="s">
        <v>8</v>
      </c>
    </row>
    <row x14ac:dyDescent="0.25" r="12" customHeight="1" ht="18.75">
      <c r="A12" s="6" t="s">
        <v>25</v>
      </c>
      <c r="B12" s="3" t="s">
        <v>26</v>
      </c>
      <c r="C12" s="3" t="s">
        <v>8</v>
      </c>
    </row>
    <row x14ac:dyDescent="0.25" r="13" customHeight="1" ht="18.75">
      <c r="A13" s="4" t="s">
        <v>27</v>
      </c>
      <c r="B13" s="3" t="s">
        <v>28</v>
      </c>
      <c r="C13" s="3" t="s">
        <v>8</v>
      </c>
    </row>
    <row x14ac:dyDescent="0.25" r="14" customHeight="1" ht="18.75">
      <c r="A14" s="5" t="s">
        <v>29</v>
      </c>
      <c r="B14" s="3" t="s">
        <v>30</v>
      </c>
      <c r="C14" s="3" t="s">
        <v>5</v>
      </c>
    </row>
    <row x14ac:dyDescent="0.25" r="15" customHeight="1" ht="18.75">
      <c r="A15" s="5" t="s">
        <v>31</v>
      </c>
      <c r="B15" s="3" t="s">
        <v>32</v>
      </c>
      <c r="C15" s="3" t="s">
        <v>5</v>
      </c>
    </row>
    <row x14ac:dyDescent="0.25" r="16" customHeight="1" ht="18.75">
      <c r="A16" s="4" t="s">
        <v>33</v>
      </c>
      <c r="B16" s="3" t="s">
        <v>34</v>
      </c>
      <c r="C16" s="3" t="s">
        <v>35</v>
      </c>
    </row>
    <row x14ac:dyDescent="0.25" r="17" customHeight="1" ht="18.75">
      <c r="A17" s="5" t="s">
        <v>36</v>
      </c>
      <c r="B17" s="3" t="s">
        <v>37</v>
      </c>
      <c r="C17" s="3" t="s">
        <v>35</v>
      </c>
    </row>
    <row x14ac:dyDescent="0.25" r="18" customHeight="1" ht="18.75">
      <c r="A18" s="5" t="s">
        <v>38</v>
      </c>
      <c r="B18" s="3" t="s">
        <v>39</v>
      </c>
      <c r="C18" s="3" t="s">
        <v>5</v>
      </c>
    </row>
    <row x14ac:dyDescent="0.25" r="19" customHeight="1" ht="18.75">
      <c r="A19" s="6" t="s">
        <v>40</v>
      </c>
      <c r="B19" s="3" t="s">
        <v>41</v>
      </c>
      <c r="C19" s="3" t="s">
        <v>8</v>
      </c>
    </row>
    <row x14ac:dyDescent="0.25" r="20" customHeight="1" ht="18.75">
      <c r="A20" s="6" t="s">
        <v>42</v>
      </c>
      <c r="B20" s="3" t="s">
        <v>43</v>
      </c>
      <c r="C20" s="3" t="s">
        <v>8</v>
      </c>
    </row>
    <row x14ac:dyDescent="0.25" r="21" customHeight="1" ht="18.75">
      <c r="A21" s="5" t="s">
        <v>44</v>
      </c>
      <c r="B21" s="3" t="s">
        <v>45</v>
      </c>
      <c r="C21" s="3" t="s">
        <v>35</v>
      </c>
    </row>
    <row x14ac:dyDescent="0.25" r="22" customHeight="1" ht="18.75">
      <c r="A22" s="6" t="s">
        <v>46</v>
      </c>
      <c r="B22" s="3" t="s">
        <v>47</v>
      </c>
      <c r="C22" s="3" t="s">
        <v>8</v>
      </c>
    </row>
    <row x14ac:dyDescent="0.25" r="23" customHeight="1" ht="18.75">
      <c r="A23" s="4" t="s">
        <v>48</v>
      </c>
      <c r="B23" s="7" t="s">
        <v>49</v>
      </c>
      <c r="C23" s="3" t="s">
        <v>8</v>
      </c>
    </row>
    <row x14ac:dyDescent="0.25" r="24" customHeight="1" ht="18.75">
      <c r="A24" s="4" t="s">
        <v>50</v>
      </c>
      <c r="B24" s="3" t="s">
        <v>51</v>
      </c>
      <c r="C24" s="3" t="s">
        <v>8</v>
      </c>
    </row>
    <row x14ac:dyDescent="0.25" r="25" customHeight="1" ht="18.75">
      <c r="A25" s="4" t="s">
        <v>52</v>
      </c>
      <c r="B25" s="7" t="s">
        <v>53</v>
      </c>
      <c r="C25" s="3" t="s">
        <v>8</v>
      </c>
    </row>
    <row x14ac:dyDescent="0.25" r="26" customHeight="1" ht="18.75">
      <c r="A26" s="5" t="s">
        <v>54</v>
      </c>
      <c r="B26" s="3" t="s">
        <v>55</v>
      </c>
      <c r="C26" s="3" t="s">
        <v>5</v>
      </c>
    </row>
    <row x14ac:dyDescent="0.25" r="27" customHeight="1" ht="18.75">
      <c r="A27" s="2" t="s">
        <v>56</v>
      </c>
      <c r="B27" s="3" t="s">
        <v>57</v>
      </c>
      <c r="C27" s="3" t="s">
        <v>5</v>
      </c>
    </row>
    <row x14ac:dyDescent="0.25" r="28" customHeight="1" ht="18.75">
      <c r="A28" s="6" t="s">
        <v>58</v>
      </c>
      <c r="B28" s="3" t="s">
        <v>59</v>
      </c>
      <c r="C28" s="3" t="s">
        <v>8</v>
      </c>
    </row>
    <row x14ac:dyDescent="0.25" r="29" customHeight="1" ht="18.75">
      <c r="A29" s="4" t="s">
        <v>60</v>
      </c>
      <c r="B29" s="3" t="s">
        <v>61</v>
      </c>
      <c r="C29" s="3" t="s">
        <v>8</v>
      </c>
    </row>
    <row x14ac:dyDescent="0.25" r="30" customHeight="1" ht="18.75">
      <c r="A30" s="4" t="s">
        <v>62</v>
      </c>
      <c r="B30" s="3" t="s">
        <v>63</v>
      </c>
      <c r="C30" s="3" t="s">
        <v>8</v>
      </c>
    </row>
    <row x14ac:dyDescent="0.25" r="31" customHeight="1" ht="18.75">
      <c r="A31" s="2" t="s">
        <v>64</v>
      </c>
      <c r="B31" s="3" t="s">
        <v>65</v>
      </c>
      <c r="C31" s="3" t="s">
        <v>5</v>
      </c>
    </row>
    <row x14ac:dyDescent="0.25" r="32" customHeight="1" ht="18.75">
      <c r="A32" s="2" t="s">
        <v>66</v>
      </c>
      <c r="B32" s="3" t="s">
        <v>67</v>
      </c>
      <c r="C32" s="3" t="s">
        <v>5</v>
      </c>
    </row>
    <row x14ac:dyDescent="0.25" r="33" customHeight="1" ht="18.75">
      <c r="A33" s="8" t="s">
        <v>68</v>
      </c>
      <c r="B33" s="3" t="s">
        <v>69</v>
      </c>
      <c r="C33" s="3" t="s">
        <v>5</v>
      </c>
    </row>
    <row x14ac:dyDescent="0.25" r="34" customHeight="1" ht="18.75">
      <c r="A34" s="6" t="s">
        <v>70</v>
      </c>
      <c r="B34" s="3" t="s">
        <v>71</v>
      </c>
      <c r="C34" s="3" t="s">
        <v>8</v>
      </c>
    </row>
    <row x14ac:dyDescent="0.25" r="35" customHeight="1" ht="18.75">
      <c r="A35" s="4" t="s">
        <v>72</v>
      </c>
      <c r="B35" s="3" t="s">
        <v>73</v>
      </c>
      <c r="C35" s="3" t="s">
        <v>8</v>
      </c>
    </row>
    <row x14ac:dyDescent="0.25" r="36" customHeight="1" ht="18.75">
      <c r="A36" s="5" t="s">
        <v>74</v>
      </c>
      <c r="B36" s="3" t="s">
        <v>75</v>
      </c>
      <c r="C36" s="3" t="s">
        <v>5</v>
      </c>
    </row>
    <row x14ac:dyDescent="0.25" r="37" customHeight="1" ht="18.75">
      <c r="A37" s="4" t="s">
        <v>76</v>
      </c>
      <c r="B37" s="3" t="s">
        <v>77</v>
      </c>
      <c r="C37" s="3" t="s">
        <v>8</v>
      </c>
    </row>
    <row x14ac:dyDescent="0.25" r="38" customHeight="1" ht="18.75">
      <c r="A38" s="4" t="s">
        <v>78</v>
      </c>
      <c r="B38" s="3" t="s">
        <v>79</v>
      </c>
      <c r="C38" s="3" t="s">
        <v>8</v>
      </c>
    </row>
    <row x14ac:dyDescent="0.25" r="39" customHeight="1" ht="18.75">
      <c r="A39" s="4" t="s">
        <v>80</v>
      </c>
      <c r="B39" s="7" t="s">
        <v>81</v>
      </c>
      <c r="C39" s="3" t="s">
        <v>8</v>
      </c>
    </row>
    <row x14ac:dyDescent="0.25" r="40" customHeight="1" ht="18.75">
      <c r="A40" s="4" t="s">
        <v>82</v>
      </c>
      <c r="B40" s="3" t="s">
        <v>83</v>
      </c>
      <c r="C40" s="3" t="s">
        <v>8</v>
      </c>
    </row>
    <row x14ac:dyDescent="0.25" r="41" customHeight="1" ht="18.75">
      <c r="A41" s="4" t="s">
        <v>84</v>
      </c>
      <c r="B41" s="3" t="s">
        <v>85</v>
      </c>
      <c r="C41" s="3" t="s">
        <v>8</v>
      </c>
    </row>
    <row x14ac:dyDescent="0.25" r="42" customHeight="1" ht="18.75">
      <c r="A42" s="4" t="s">
        <v>86</v>
      </c>
      <c r="B42" s="7" t="s">
        <v>87</v>
      </c>
      <c r="C42" s="3" t="s">
        <v>8</v>
      </c>
    </row>
    <row x14ac:dyDescent="0.25" r="43" customHeight="1" ht="18.75">
      <c r="A43" s="4" t="s">
        <v>88</v>
      </c>
      <c r="B43" s="3" t="s">
        <v>89</v>
      </c>
      <c r="C43" s="3" t="s">
        <v>8</v>
      </c>
    </row>
    <row x14ac:dyDescent="0.25" r="44" customHeight="1" ht="18.75">
      <c r="A44" s="2" t="s">
        <v>90</v>
      </c>
      <c r="B44" s="3" t="s">
        <v>91</v>
      </c>
      <c r="C44" s="3" t="s">
        <v>5</v>
      </c>
    </row>
    <row x14ac:dyDescent="0.25" r="45" customHeight="1" ht="18.75">
      <c r="A45" s="4" t="s">
        <v>92</v>
      </c>
      <c r="B45" s="3" t="s">
        <v>93</v>
      </c>
      <c r="C45" s="3" t="s">
        <v>8</v>
      </c>
    </row>
    <row x14ac:dyDescent="0.25" r="46" customHeight="1" ht="18.75">
      <c r="A46" s="4" t="s">
        <v>94</v>
      </c>
      <c r="B46" s="3" t="s">
        <v>95</v>
      </c>
      <c r="C46" s="3" t="s">
        <v>8</v>
      </c>
    </row>
    <row x14ac:dyDescent="0.25" r="47" customHeight="1" ht="18.75">
      <c r="A47" s="4" t="s">
        <v>96</v>
      </c>
      <c r="B47" s="3" t="s">
        <v>97</v>
      </c>
      <c r="C47" s="3" t="s">
        <v>8</v>
      </c>
    </row>
    <row x14ac:dyDescent="0.25" r="48" customHeight="1" ht="18.75">
      <c r="A48" s="4" t="s">
        <v>98</v>
      </c>
      <c r="B48" s="3" t="s">
        <v>99</v>
      </c>
      <c r="C48" s="3" t="s">
        <v>8</v>
      </c>
    </row>
    <row x14ac:dyDescent="0.25" r="49" customHeight="1" ht="18.75">
      <c r="A49" s="4" t="s">
        <v>100</v>
      </c>
      <c r="B49" s="3" t="s">
        <v>101</v>
      </c>
      <c r="C49" s="3" t="s">
        <v>8</v>
      </c>
    </row>
    <row x14ac:dyDescent="0.25" r="50" customHeight="1" ht="18.75">
      <c r="A50" s="4" t="s">
        <v>102</v>
      </c>
      <c r="B50" s="3" t="s">
        <v>103</v>
      </c>
      <c r="C50" s="3" t="s">
        <v>8</v>
      </c>
    </row>
    <row x14ac:dyDescent="0.25" r="51" customHeight="1" ht="18.75">
      <c r="A51" s="6" t="s">
        <v>104</v>
      </c>
      <c r="B51" s="3" t="s">
        <v>105</v>
      </c>
      <c r="C51" s="3" t="s">
        <v>8</v>
      </c>
    </row>
    <row x14ac:dyDescent="0.25" r="52" customHeight="1" ht="18.75">
      <c r="A52" s="4" t="s">
        <v>106</v>
      </c>
      <c r="B52" s="3" t="s">
        <v>107</v>
      </c>
      <c r="C52" s="3" t="s">
        <v>8</v>
      </c>
    </row>
    <row x14ac:dyDescent="0.25" r="53" customHeight="1" ht="18.75">
      <c r="A53" s="4" t="s">
        <v>108</v>
      </c>
      <c r="B53" s="3" t="s">
        <v>109</v>
      </c>
      <c r="C53" s="3" t="s">
        <v>8</v>
      </c>
    </row>
    <row x14ac:dyDescent="0.25" r="54" customHeight="1" ht="18.75">
      <c r="A54" s="4" t="s">
        <v>110</v>
      </c>
      <c r="B54" s="3" t="s">
        <v>111</v>
      </c>
      <c r="C54" s="3" t="s">
        <v>8</v>
      </c>
    </row>
    <row x14ac:dyDescent="0.25" r="55" customHeight="1" ht="18.75">
      <c r="A55" s="4" t="s">
        <v>112</v>
      </c>
      <c r="B55" s="3" t="s">
        <v>113</v>
      </c>
      <c r="C55" s="3" t="s">
        <v>8</v>
      </c>
    </row>
    <row x14ac:dyDescent="0.25" r="56" customHeight="1" ht="18.75">
      <c r="A56" s="4" t="s">
        <v>114</v>
      </c>
      <c r="B56" s="3" t="s">
        <v>115</v>
      </c>
      <c r="C56" s="3" t="s">
        <v>8</v>
      </c>
    </row>
    <row x14ac:dyDescent="0.25" r="57" customHeight="1" ht="18.75">
      <c r="A57" s="9"/>
      <c r="B57" s="3"/>
      <c r="C57" s="3"/>
    </row>
    <row x14ac:dyDescent="0.25" r="58" customHeight="1" ht="18.75">
      <c r="A58" s="9"/>
      <c r="B58" s="3"/>
      <c r="C58" s="3"/>
    </row>
    <row x14ac:dyDescent="0.25" r="59" customHeight="1" ht="18.75">
      <c r="A59" s="9"/>
      <c r="B59" s="3"/>
      <c r="C59" s="3"/>
    </row>
    <row x14ac:dyDescent="0.25" r="60" customHeight="1" ht="18.75">
      <c r="A60" s="9"/>
      <c r="B60" s="3"/>
      <c r="C60" s="3"/>
    </row>
    <row x14ac:dyDescent="0.25" r="61" customHeight="1" ht="18.75">
      <c r="A61" s="9"/>
      <c r="B61" s="3"/>
      <c r="C61" s="3"/>
    </row>
    <row x14ac:dyDescent="0.25" r="62" customHeight="1" ht="18.75">
      <c r="A62" s="9"/>
      <c r="B62" s="3"/>
      <c r="C62" s="3"/>
    </row>
    <row x14ac:dyDescent="0.25" r="63" customHeight="1" ht="18.75">
      <c r="A63" s="9"/>
      <c r="B63" s="3"/>
      <c r="C63" s="3"/>
    </row>
    <row x14ac:dyDescent="0.25" r="64" customHeight="1" ht="18.75">
      <c r="A64" s="9"/>
      <c r="B64" s="3"/>
      <c r="C64" s="3"/>
    </row>
    <row x14ac:dyDescent="0.25" r="65" customHeight="1" ht="18.75">
      <c r="A65" s="9"/>
      <c r="B65" s="3"/>
      <c r="C65" s="3"/>
    </row>
    <row x14ac:dyDescent="0.25" r="66" customHeight="1" ht="18.75">
      <c r="A66" s="9"/>
      <c r="B66" s="3"/>
      <c r="C66" s="3"/>
    </row>
    <row x14ac:dyDescent="0.25" r="67" customHeight="1" ht="18.75">
      <c r="A67" s="10"/>
      <c r="B67" s="3"/>
      <c r="C67" s="3"/>
    </row>
    <row x14ac:dyDescent="0.25" r="68" customHeight="1" ht="18.75">
      <c r="A68" s="11"/>
      <c r="B68" s="3"/>
      <c r="C68" s="3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CONSEGNE</vt:lpstr>
      <vt:lpstr>VEICOLI</vt:lpstr>
      <vt:lpstr>AUTISTI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2025-07-29T16:04:30.403Z</dcterms:created>
  <dcterms:modified xsi:type="dcterms:W3CDTF">2025-07-29T16:04:30.403Z</dcterms:modified>
</cp:coreProperties>
</file>