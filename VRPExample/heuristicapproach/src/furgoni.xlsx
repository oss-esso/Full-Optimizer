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Projects\OQI_Project\Full Optimizer\VRPExample\heuristicapproach\src\"/>
    </mc:Choice>
  </mc:AlternateContent>
  <xr:revisionPtr revIDLastSave="0" documentId="13_ncr:1_{40238791-30C6-47A2-A2FA-7DFB6301D4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EGNE" sheetId="1" r:id="rId1"/>
    <sheet name="VEICOLI" sheetId="2" r:id="rId2"/>
    <sheet name="AUTI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2" i="2"/>
  <c r="J42" i="1"/>
  <c r="J41" i="1"/>
  <c r="J40" i="1"/>
  <c r="J39" i="1"/>
  <c r="J38" i="1"/>
  <c r="J37" i="1"/>
  <c r="I37" i="1"/>
  <c r="J35" i="1"/>
  <c r="J34" i="1"/>
  <c r="J33" i="1"/>
  <c r="J32" i="1"/>
  <c r="J30" i="1"/>
  <c r="J26" i="1"/>
  <c r="J25" i="1"/>
  <c r="J24" i="1"/>
  <c r="J23" i="1"/>
  <c r="J22" i="1"/>
  <c r="J21" i="1"/>
  <c r="J20" i="1"/>
  <c r="J19" i="1"/>
  <c r="J18" i="1"/>
  <c r="J17" i="1"/>
  <c r="J16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<sst xmlns="http://schemas.openxmlformats.org/spreadsheetml/2006/main" count="870" uniqueCount="241">
  <si>
    <t>NUMBER PLATE</t>
  </si>
  <si>
    <t>DRIVER</t>
  </si>
  <si>
    <t>LICENSE</t>
  </si>
  <si>
    <t>XA359KW</t>
  </si>
  <si>
    <t>Mohamed</t>
  </si>
  <si>
    <t>CE</t>
  </si>
  <si>
    <t>FX192HX</t>
  </si>
  <si>
    <t>Tidian</t>
  </si>
  <si>
    <t>B</t>
  </si>
  <si>
    <t>FX194HX</t>
  </si>
  <si>
    <t>Martinas 1</t>
  </si>
  <si>
    <t>GA620VG</t>
  </si>
  <si>
    <t>Stefan</t>
  </si>
  <si>
    <t>GA621VG</t>
  </si>
  <si>
    <t>Claudio</t>
  </si>
  <si>
    <t>GA625VG</t>
  </si>
  <si>
    <t>Massimo</t>
  </si>
  <si>
    <t>GA630VG</t>
  </si>
  <si>
    <t>Sergio</t>
  </si>
  <si>
    <t>XA356KW</t>
  </si>
  <si>
    <t>Raluca</t>
  </si>
  <si>
    <t>GA637VG</t>
  </si>
  <si>
    <t>Ottavio</t>
  </si>
  <si>
    <t>GA646VG</t>
  </si>
  <si>
    <t>Fabio Paglianiti</t>
  </si>
  <si>
    <t>GA647VG</t>
  </si>
  <si>
    <t>Vece</t>
  </si>
  <si>
    <t>GA649VG</t>
  </si>
  <si>
    <t>Eugenio</t>
  </si>
  <si>
    <t>GC002LX</t>
  </si>
  <si>
    <t>Sorin</t>
  </si>
  <si>
    <t>GC069LX</t>
  </si>
  <si>
    <t>Emanuele</t>
  </si>
  <si>
    <t>GC070LX</t>
  </si>
  <si>
    <t>Giancarlo Zan.</t>
  </si>
  <si>
    <t>C</t>
  </si>
  <si>
    <t>GC079LX</t>
  </si>
  <si>
    <t>Catali</t>
  </si>
  <si>
    <t>GC086LX</t>
  </si>
  <si>
    <t>Modou</t>
  </si>
  <si>
    <t>GE026FZ</t>
  </si>
  <si>
    <t>Daniela</t>
  </si>
  <si>
    <t>GE027FZ</t>
  </si>
  <si>
    <t>Giorgi</t>
  </si>
  <si>
    <t>GE030FZ</t>
  </si>
  <si>
    <t>Nicola</t>
  </si>
  <si>
    <t>GE031FZ</t>
  </si>
  <si>
    <t>Aimad</t>
  </si>
  <si>
    <t>GG355FV</t>
  </si>
  <si>
    <t>Autista1</t>
  </si>
  <si>
    <t>GP339JH</t>
  </si>
  <si>
    <t>Cristian</t>
  </si>
  <si>
    <t>GP340JH</t>
  </si>
  <si>
    <t>Autista2</t>
  </si>
  <si>
    <t>GP507LA</t>
  </si>
  <si>
    <t>Buhan</t>
  </si>
  <si>
    <t>XA819VA</t>
  </si>
  <si>
    <t xml:space="preserve"> Alin</t>
  </si>
  <si>
    <t>GS451PC</t>
  </si>
  <si>
    <t>Dumitru</t>
  </si>
  <si>
    <t>GT715RC</t>
  </si>
  <si>
    <t>Tode</t>
  </si>
  <si>
    <t>GT735RC</t>
  </si>
  <si>
    <t>Nosenzo</t>
  </si>
  <si>
    <t>XA346KW</t>
  </si>
  <si>
    <t>Martinas 2</t>
  </si>
  <si>
    <t>XA345KW</t>
  </si>
  <si>
    <t>Anisoara</t>
  </si>
  <si>
    <t>FF235DM</t>
  </si>
  <si>
    <t>Romea</t>
  </si>
  <si>
    <t>GA622VG</t>
  </si>
  <si>
    <t>Dani</t>
  </si>
  <si>
    <t>GA624VG</t>
  </si>
  <si>
    <t>Adrian</t>
  </si>
  <si>
    <t>GA633VG</t>
  </si>
  <si>
    <t>Arifei</t>
  </si>
  <si>
    <t>GA644VG</t>
  </si>
  <si>
    <t>Giancarlo S.</t>
  </si>
  <si>
    <t>GR124JF</t>
  </si>
  <si>
    <t>Kristy</t>
  </si>
  <si>
    <t>GS178CM</t>
  </si>
  <si>
    <t>Autista3</t>
  </si>
  <si>
    <t>GS452PC</t>
  </si>
  <si>
    <t>Cracara</t>
  </si>
  <si>
    <t>GS453PC</t>
  </si>
  <si>
    <t>Gianni Vantaggiato</t>
  </si>
  <si>
    <t>GT004SW</t>
  </si>
  <si>
    <t>Autista4</t>
  </si>
  <si>
    <t>GT125RB</t>
  </si>
  <si>
    <t>Katalin</t>
  </si>
  <si>
    <t>XA321KW</t>
  </si>
  <si>
    <t>Miu</t>
  </si>
  <si>
    <t>GW855CW</t>
  </si>
  <si>
    <t>Ciro Sorrentino</t>
  </si>
  <si>
    <t>GW862CW</t>
  </si>
  <si>
    <t>Liviu</t>
  </si>
  <si>
    <t>GW863CW</t>
  </si>
  <si>
    <t>Vera</t>
  </si>
  <si>
    <t>GW865CW</t>
  </si>
  <si>
    <t>Panche</t>
  </si>
  <si>
    <t>GW871CW</t>
  </si>
  <si>
    <t>Claudio Massidda</t>
  </si>
  <si>
    <t>GW873CW</t>
  </si>
  <si>
    <t>Made</t>
  </si>
  <si>
    <t>GW877CW</t>
  </si>
  <si>
    <t>Angelo D'amato</t>
  </si>
  <si>
    <t>GW879CW</t>
  </si>
  <si>
    <t>Demo</t>
  </si>
  <si>
    <t>GW880CW</t>
  </si>
  <si>
    <t>Alessandro Perrotta</t>
  </si>
  <si>
    <t>GW882CW</t>
  </si>
  <si>
    <t>Vasile</t>
  </si>
  <si>
    <t>GW883CW</t>
  </si>
  <si>
    <t>Pasquale</t>
  </si>
  <si>
    <t>GW894CW</t>
  </si>
  <si>
    <t>Roberto Rainero</t>
  </si>
  <si>
    <t>TYPE OF VEHICLE</t>
  </si>
  <si>
    <t>MAX LOAD KG</t>
  </si>
  <si>
    <t>PALLET</t>
  </si>
  <si>
    <t>MAX LOAD VOLUME M^3</t>
  </si>
  <si>
    <t>LOADER</t>
  </si>
  <si>
    <t>LOW TEMP</t>
  </si>
  <si>
    <t>LAST IN FIRST OUT</t>
  </si>
  <si>
    <t>HANGERS</t>
  </si>
  <si>
    <t>REGULATIONS</t>
  </si>
  <si>
    <t>FURGONE</t>
  </si>
  <si>
    <t>NO</t>
  </si>
  <si>
    <t>YES</t>
  </si>
  <si>
    <t>CAMION</t>
  </si>
  <si>
    <t>NAME</t>
  </si>
  <si>
    <t>ADDRESS</t>
  </si>
  <si>
    <t>POSTAL CODE</t>
  </si>
  <si>
    <t>COUNTRY</t>
  </si>
  <si>
    <t>TIME WINDOW DATE (24=0)</t>
  </si>
  <si>
    <t>TIME WINDOW HOURS</t>
  </si>
  <si>
    <t>SERVICE TIME</t>
  </si>
  <si>
    <t>DELIVERY OR PICKUP</t>
  </si>
  <si>
    <t>LOAD KG</t>
  </si>
  <si>
    <t>LOAD VOLUME M^3</t>
  </si>
  <si>
    <t xml:space="preserve">COLUMBIA  SERRAVALLE </t>
  </si>
  <si>
    <t>VIA DELLA MODA 1  SERRAVALLE SCRIVIA</t>
  </si>
  <si>
    <t>ITALY</t>
  </si>
  <si>
    <t>07:30-09:30</t>
  </si>
  <si>
    <t xml:space="preserve">DELIVERY </t>
  </si>
  <si>
    <t xml:space="preserve">LIEBOT SRL </t>
  </si>
  <si>
    <t>VIA DEL COMMERCIO 20 BERNAREGGIO</t>
  </si>
  <si>
    <t>00:00-10:00</t>
  </si>
  <si>
    <t>PICKUP</t>
  </si>
  <si>
    <t>MARAZZATO GIOVANNI SRL</t>
  </si>
  <si>
    <t>VIA VILLANOVA 35 TREBASELEGHE</t>
  </si>
  <si>
    <t>00:00-23:59</t>
  </si>
  <si>
    <t>MOVISTAR SRL</t>
  </si>
  <si>
    <t xml:space="preserve"> VIA OLANDA 5  VIGONZA</t>
  </si>
  <si>
    <t>00:00-12:00</t>
  </si>
  <si>
    <t xml:space="preserve">MEMFIS </t>
  </si>
  <si>
    <t xml:space="preserve"> LOCALITÀ BATASIOLO 85/A  LA MORRA CUNEO </t>
  </si>
  <si>
    <t>DELIVERY</t>
  </si>
  <si>
    <t xml:space="preserve">SUERMERCATI TOSANO CEREA </t>
  </si>
  <si>
    <t xml:space="preserve"> VIA PALESELLA 1 CEREA</t>
  </si>
  <si>
    <t>DSV VERONA</t>
  </si>
  <si>
    <t>VIA SOMMACAMPAGNA 22 VERONA</t>
  </si>
  <si>
    <t xml:space="preserve">IL PIZZICAGNOLO </t>
  </si>
  <si>
    <t xml:space="preserve">VIA CAVALLEGGERI D'UDINE  5 MEZZOLOMBARDO </t>
  </si>
  <si>
    <t xml:space="preserve">ROECHLING  AUTOMOTIVE ITALIA </t>
  </si>
  <si>
    <t>VIA NOBEL 11 LAIVES</t>
  </si>
  <si>
    <t>08:00-12:00</t>
  </si>
  <si>
    <t>DANCUP 13</t>
  </si>
  <si>
    <t>BOUC-BEL AIR</t>
  </si>
  <si>
    <t>FRANCE</t>
  </si>
  <si>
    <t>CURTI SRL</t>
  </si>
  <si>
    <t>VIA STAZIONE 113 VALLE LOMELLINA</t>
  </si>
  <si>
    <t>MARCONI</t>
  </si>
  <si>
    <t>VIA 11 SETTEMBRE 2001 VOLGARGNE</t>
  </si>
  <si>
    <t>DABRAZZI PACKAGING</t>
  </si>
  <si>
    <t>VIA MANDOLOSSA 43/45 MANDOLOSSA</t>
  </si>
  <si>
    <t>08:00-17:30</t>
  </si>
  <si>
    <t>AGRIACRO TECH SRL</t>
  </si>
  <si>
    <t>LARGO EULA 1 PIEVE DI TECO</t>
  </si>
  <si>
    <t>FARMACEUTICI PROMCEMSA</t>
  </si>
  <si>
    <t xml:space="preserve">VIA VERNEA 129 NICHELINO </t>
  </si>
  <si>
    <t>08:30-16:30</t>
  </si>
  <si>
    <t xml:space="preserve">FIAT V. I SPA STAB BRESCIA </t>
  </si>
  <si>
    <t>VIA VOLTURNO 68 BRESCIA</t>
  </si>
  <si>
    <t>12:00-16:00</t>
  </si>
  <si>
    <t xml:space="preserve">DOX-AL ITALIA SPA </t>
  </si>
  <si>
    <t>VIA MASCAGNI 6/A  SULBIATE</t>
  </si>
  <si>
    <t xml:space="preserve">PICKUP </t>
  </si>
  <si>
    <t>I.B.O. SRL</t>
  </si>
  <si>
    <t>VIA BONIPERTI 74 MOMO</t>
  </si>
  <si>
    <t xml:space="preserve">ANTONIO CAPPELLARI SRL </t>
  </si>
  <si>
    <t xml:space="preserve">VIA MARZABOTTO 16  CASTELLO SOPRA TICINO </t>
  </si>
  <si>
    <t>APICOLTURA GALEAZZI FLAVIO</t>
  </si>
  <si>
    <t>VIA INVORIO 66  GHEVIO DI MEINA</t>
  </si>
  <si>
    <t>FRADDY SPA MILANO</t>
  </si>
  <si>
    <t xml:space="preserve">CORSO BUENOS AIRES 20 MILANO </t>
  </si>
  <si>
    <t>FRADDY SPA CHIAVARI</t>
  </si>
  <si>
    <t xml:space="preserve">VIA S. RUFINO 31  CHIAVARI </t>
  </si>
  <si>
    <t>PETRUCCI NATALI SRL</t>
  </si>
  <si>
    <t>VIA DELLA SBROZZOLA 14 CAMERANO</t>
  </si>
  <si>
    <t>CENTRO FIORINA</t>
  </si>
  <si>
    <t>STRADA DI PADERNA 2  DOMAGNO</t>
  </si>
  <si>
    <t>SAN MARINO</t>
  </si>
  <si>
    <t>08:00-17:00</t>
  </si>
  <si>
    <t>FRANCO RIBALTA NOSTRO MAGAZZINO DROGHERIA</t>
  </si>
  <si>
    <t xml:space="preserve">STRADA PROVINCIALE PER RECETTO 580  BIANDRATE </t>
  </si>
  <si>
    <t>GAUDì TRADE SPA CARPI</t>
  </si>
  <si>
    <t xml:space="preserve">VIA NUOVA PONENTE 29 CARPI </t>
  </si>
  <si>
    <t>C/O MTC PROREO SRL</t>
  </si>
  <si>
    <t>STRADA PEDEMONTANA EST 27 TRAVERSETOLO</t>
  </si>
  <si>
    <t>AREA FOOD GASTRONOMIA CASTELFRUTTA SRL</t>
  </si>
  <si>
    <t xml:space="preserve">VIA GIULIA 35 TRIESTE </t>
  </si>
  <si>
    <t>BIOFARMA</t>
  </si>
  <si>
    <t>VIA DIVISIONE JULIA 23 MERETO DI TOMBA</t>
  </si>
  <si>
    <t xml:space="preserve">DIPHARMA FRANCIS SRL </t>
  </si>
  <si>
    <t>VIA XXIV MAGGIO 40  MERETO DI TOMBA</t>
  </si>
  <si>
    <t>CAPELLO SRL</t>
  </si>
  <si>
    <t xml:space="preserve">VIA VALLE PO 100  CUNEO </t>
  </si>
  <si>
    <t>GFM IMBOTTITURE SNC</t>
  </si>
  <si>
    <t>VIA ASTI MARE 6/B VIGLIIANO D'ASTI</t>
  </si>
  <si>
    <t>07:00-14:00</t>
  </si>
  <si>
    <t xml:space="preserve">GS S.P.A. </t>
  </si>
  <si>
    <t xml:space="preserve">VIA MARCO BIAGI 3 RIVALTA </t>
  </si>
  <si>
    <t>M.I.A. CAMBIANO</t>
  </si>
  <si>
    <t xml:space="preserve">VIA NAZIONALE 11 CAMBIANO </t>
  </si>
  <si>
    <t>O.R.M.I.G. SPA</t>
  </si>
  <si>
    <t xml:space="preserve">PIAZZALE ORMIG REGIONE CARLOVI 12A  OVADA ALTA </t>
  </si>
  <si>
    <t>C.TO CLIENTE IMEB</t>
  </si>
  <si>
    <t xml:space="preserve">VIA FIRMANO 14 CIVIDALE DEL FRIULI </t>
  </si>
  <si>
    <t xml:space="preserve">IPER MONTEBELLO SPA </t>
  </si>
  <si>
    <t>VIA LURAGHI 11 ARESE</t>
  </si>
  <si>
    <t xml:space="preserve">LOFARMA SPA </t>
  </si>
  <si>
    <t>VIALE CASSALA 40 MILANO</t>
  </si>
  <si>
    <t>09:00-23:59</t>
  </si>
  <si>
    <t>STEROID SPA</t>
  </si>
  <si>
    <t xml:space="preserve">VIA SPAGNA 156 COLOGNO MONZESE </t>
  </si>
  <si>
    <t xml:space="preserve">RAVIOLIFICIO LO SCOIATTOLO </t>
  </si>
  <si>
    <t xml:space="preserve">VIA B FRANKLIN 8  LOANTE CEPPINO </t>
  </si>
  <si>
    <t xml:space="preserve">ALHA AIR LINES HANDLING AGENTS SPA </t>
  </si>
  <si>
    <t xml:space="preserve">VIA GRAN SASSO 1 TRUCCAZZANO </t>
  </si>
  <si>
    <t>FORNO DI GALLONE FILIPPO AND C</t>
  </si>
  <si>
    <t xml:space="preserve">VIA ALBINONI 50 SOLIERA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</si>
</sst>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</font>
    <font>
      <sz val="11"/>
      <color rgb="FFD883FF"/>
      <name val="Aptos Narrow"/>
      <family val="2"/>
    </font>
    <font>
      <sz val="11"/>
      <color rgb="FF0070C0"/>
      <name val="Aptos Narrow"/>
      <family val="2"/>
    </font>
    <font>
      <sz val="11"/>
      <color rgb="FF00B050"/>
      <name val="Aptos Narrow"/>
      <family val="2"/>
    </font>
    <font>
      <sz val="11"/>
      <color rgb="FFD883FF"/>
      <name val="Aptos Narrow (Body)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90545E"/>
      </patternFill>
    </fill>
    <fill>
      <patternFill patternType="solid">
        <fgColor rgb="FF76D6FF"/>
      </patternFill>
    </fill>
    <fill>
      <patternFill patternType="solid">
        <fgColor rgb="FFFF8AD8"/>
      </patternFill>
    </fill>
    <fill>
      <patternFill patternType="solid">
        <fgColor rgb="FFFF9300"/>
      </patternFill>
    </fill>
    <fill>
      <patternFill patternType="solid">
        <fgColor rgb="FF7A81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8" fillId="0" borderId="1" xfId="0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35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/>
  <cols>
    <col min="1" max="1" width="53.85546875" style="8" bestFit="1" customWidth="1"/>
    <col min="2" max="4" width="62.28515625" style="8" bestFit="1" customWidth="1"/>
    <col min="5" max="5" width="62.28515625" style="35" bestFit="1" customWidth="1"/>
    <col min="6" max="6" width="46" style="8" bestFit="1" customWidth="1"/>
    <col min="7" max="7" width="20.42578125" style="35" bestFit="1" customWidth="1"/>
    <col min="8" max="8" width="29.85546875" style="8" bestFit="1" customWidth="1"/>
    <col min="9" max="9" width="18.7109375" style="35" bestFit="1" customWidth="1"/>
    <col min="10" max="10" width="43.28515625" style="36" bestFit="1" customWidth="1"/>
    <col min="11" max="11" width="18.7109375" style="35" bestFit="1" customWidth="1"/>
    <col min="12" max="12" width="18.7109375" style="8" bestFit="1" customWidth="1"/>
    <col min="13" max="13" width="16.42578125" style="8" bestFit="1" customWidth="1"/>
    <col min="14" max="14" width="15.28515625" bestFit="1" customWidth="1"/>
    <col min="15" max="15" width="13.5703125" bestFit="1" customWidth="1"/>
  </cols>
  <sheetData>
    <row r="1" spans="1:15" ht="18.75" customHeight="1">
      <c r="A1" s="1" t="s">
        <v>129</v>
      </c>
      <c r="B1" s="1" t="s">
        <v>130</v>
      </c>
      <c r="C1" s="1" t="s">
        <v>131</v>
      </c>
      <c r="D1" s="1" t="s">
        <v>132</v>
      </c>
      <c r="E1" s="11" t="s">
        <v>133</v>
      </c>
      <c r="F1" s="1" t="s">
        <v>134</v>
      </c>
      <c r="G1" s="11" t="s">
        <v>135</v>
      </c>
      <c r="H1" s="1" t="s">
        <v>136</v>
      </c>
      <c r="I1" s="11" t="s">
        <v>137</v>
      </c>
      <c r="J1" s="12" t="s">
        <v>138</v>
      </c>
      <c r="K1" s="11" t="s">
        <v>118</v>
      </c>
      <c r="L1" s="13" t="s">
        <v>121</v>
      </c>
      <c r="M1" s="1" t="s">
        <v>120</v>
      </c>
    </row>
    <row r="2" spans="1:15" ht="19.5" customHeight="1">
      <c r="A2" s="29" t="s">
        <v>139</v>
      </c>
      <c r="B2" s="29" t="s">
        <v>140</v>
      </c>
      <c r="C2" s="29">
        <v>15069</v>
      </c>
      <c r="D2" s="29" t="s">
        <v>141</v>
      </c>
      <c r="E2" s="30">
        <v>0</v>
      </c>
      <c r="F2" s="29" t="s">
        <v>142</v>
      </c>
      <c r="G2" s="30">
        <v>30</v>
      </c>
      <c r="H2" s="29" t="s">
        <v>143</v>
      </c>
      <c r="I2" s="30">
        <v>649</v>
      </c>
      <c r="J2" s="31">
        <v>7.31</v>
      </c>
      <c r="K2" s="30">
        <v>6</v>
      </c>
      <c r="L2" s="19" t="s">
        <v>126</v>
      </c>
      <c r="M2" s="29" t="s">
        <v>127</v>
      </c>
      <c r="N2" s="19"/>
      <c r="O2" s="19"/>
    </row>
    <row r="3" spans="1:15" ht="19.5" customHeight="1">
      <c r="A3" s="19" t="s">
        <v>144</v>
      </c>
      <c r="B3" s="19" t="s">
        <v>145</v>
      </c>
      <c r="C3" s="19">
        <v>20881</v>
      </c>
      <c r="D3" s="29" t="s">
        <v>141</v>
      </c>
      <c r="E3" s="30">
        <v>0</v>
      </c>
      <c r="F3" s="29" t="s">
        <v>146</v>
      </c>
      <c r="G3" s="30">
        <v>30</v>
      </c>
      <c r="H3" s="19" t="s">
        <v>147</v>
      </c>
      <c r="I3" s="15">
        <v>500</v>
      </c>
      <c r="J3" s="16">
        <f>445*115*270/1000000</f>
        <v>13.81725</v>
      </c>
      <c r="K3" s="15">
        <v>2</v>
      </c>
      <c r="L3" s="19" t="s">
        <v>126</v>
      </c>
      <c r="M3" s="19" t="s">
        <v>126</v>
      </c>
      <c r="N3" s="19"/>
      <c r="O3" s="19"/>
    </row>
    <row r="4" spans="1:15" ht="19.5" customHeight="1">
      <c r="A4" s="29" t="s">
        <v>148</v>
      </c>
      <c r="B4" s="29" t="s">
        <v>149</v>
      </c>
      <c r="C4" s="29">
        <v>35010</v>
      </c>
      <c r="D4" s="29" t="s">
        <v>141</v>
      </c>
      <c r="E4" s="30">
        <v>4</v>
      </c>
      <c r="F4" s="29" t="s">
        <v>150</v>
      </c>
      <c r="G4" s="30">
        <v>30</v>
      </c>
      <c r="H4" s="29" t="s">
        <v>147</v>
      </c>
      <c r="I4" s="30">
        <v>100</v>
      </c>
      <c r="J4" s="31">
        <f>80*120*100/1000000</f>
        <v>0.96</v>
      </c>
      <c r="K4" s="30">
        <v>1</v>
      </c>
      <c r="L4" s="19" t="s">
        <v>126</v>
      </c>
      <c r="M4" s="19" t="s">
        <v>126</v>
      </c>
      <c r="N4" s="19"/>
      <c r="O4" s="19"/>
    </row>
    <row r="5" spans="1:15" ht="19.5" customHeight="1">
      <c r="A5" s="29" t="s">
        <v>151</v>
      </c>
      <c r="B5" s="29" t="s">
        <v>152</v>
      </c>
      <c r="C5" s="29">
        <v>35010</v>
      </c>
      <c r="D5" s="29" t="s">
        <v>141</v>
      </c>
      <c r="E5" s="30">
        <v>1</v>
      </c>
      <c r="F5" s="29" t="s">
        <v>153</v>
      </c>
      <c r="G5" s="30">
        <v>30</v>
      </c>
      <c r="H5" s="29" t="s">
        <v>147</v>
      </c>
      <c r="I5" s="30">
        <v>60</v>
      </c>
      <c r="J5" s="31">
        <f>120*115*120/1000000</f>
        <v>1.6559999999999999</v>
      </c>
      <c r="K5" s="30">
        <v>1</v>
      </c>
      <c r="L5" s="19" t="s">
        <v>126</v>
      </c>
      <c r="M5" s="19" t="s">
        <v>126</v>
      </c>
      <c r="N5" s="19"/>
      <c r="O5" s="19"/>
    </row>
    <row r="6" spans="1:15" ht="19.5" customHeight="1">
      <c r="A6" s="29" t="s">
        <v>154</v>
      </c>
      <c r="B6" s="29" t="s">
        <v>155</v>
      </c>
      <c r="C6" s="29">
        <v>12064</v>
      </c>
      <c r="D6" s="29" t="s">
        <v>141</v>
      </c>
      <c r="E6" s="30">
        <v>1</v>
      </c>
      <c r="F6" s="29" t="s">
        <v>153</v>
      </c>
      <c r="G6" s="30">
        <v>30</v>
      </c>
      <c r="H6" s="29" t="s">
        <v>156</v>
      </c>
      <c r="I6" s="30">
        <v>60</v>
      </c>
      <c r="J6" s="31">
        <f>120*115*120/1000000</f>
        <v>1.6559999999999999</v>
      </c>
      <c r="K6" s="30">
        <v>1</v>
      </c>
      <c r="L6" s="19" t="s">
        <v>126</v>
      </c>
      <c r="M6" s="19" t="s">
        <v>126</v>
      </c>
      <c r="N6" s="19"/>
      <c r="O6" s="19"/>
    </row>
    <row r="7" spans="1:15" ht="19.5" customHeight="1">
      <c r="A7" s="29" t="s">
        <v>157</v>
      </c>
      <c r="B7" s="19" t="s">
        <v>158</v>
      </c>
      <c r="C7" s="19">
        <v>37053</v>
      </c>
      <c r="D7" s="29" t="s">
        <v>141</v>
      </c>
      <c r="E7" s="30">
        <v>0</v>
      </c>
      <c r="F7" s="29" t="s">
        <v>150</v>
      </c>
      <c r="G7" s="30">
        <v>30</v>
      </c>
      <c r="H7" s="29" t="s">
        <v>143</v>
      </c>
      <c r="I7" s="30">
        <v>600</v>
      </c>
      <c r="J7" s="31">
        <f>5*100*120*80/1000000</f>
        <v>4.8</v>
      </c>
      <c r="K7" s="30">
        <v>5</v>
      </c>
      <c r="L7" s="19" t="s">
        <v>126</v>
      </c>
      <c r="M7" s="19" t="s">
        <v>126</v>
      </c>
      <c r="N7" s="19"/>
    </row>
    <row r="8" spans="1:15" ht="19.5" customHeight="1">
      <c r="A8" s="29" t="s">
        <v>159</v>
      </c>
      <c r="B8" s="29" t="s">
        <v>160</v>
      </c>
      <c r="C8" s="29">
        <v>37137</v>
      </c>
      <c r="D8" s="29" t="s">
        <v>141</v>
      </c>
      <c r="E8" s="30">
        <v>0</v>
      </c>
      <c r="F8" s="29" t="s">
        <v>150</v>
      </c>
      <c r="G8" s="30">
        <v>30</v>
      </c>
      <c r="H8" s="29" t="s">
        <v>147</v>
      </c>
      <c r="I8" s="30">
        <v>104</v>
      </c>
      <c r="J8" s="31">
        <f>((134*17*17)+(250*25*24)+(237*23*31)+(144*36*24))/1000000</f>
        <v>0.48212300000000002</v>
      </c>
      <c r="K8" s="30">
        <v>4</v>
      </c>
      <c r="L8" s="19" t="s">
        <v>126</v>
      </c>
      <c r="M8" s="19" t="s">
        <v>126</v>
      </c>
      <c r="N8" s="19"/>
      <c r="O8" s="19"/>
    </row>
    <row r="9" spans="1:15" ht="19.5" customHeight="1">
      <c r="A9" s="29" t="s">
        <v>161</v>
      </c>
      <c r="B9" s="29" t="s">
        <v>162</v>
      </c>
      <c r="C9" s="29">
        <v>38017</v>
      </c>
      <c r="D9" s="29" t="s">
        <v>141</v>
      </c>
      <c r="E9" s="30">
        <v>0</v>
      </c>
      <c r="F9" s="29" t="s">
        <v>150</v>
      </c>
      <c r="G9" s="30">
        <v>30</v>
      </c>
      <c r="H9" s="29" t="s">
        <v>143</v>
      </c>
      <c r="I9" s="30">
        <v>400</v>
      </c>
      <c r="J9" s="31">
        <f>4*100*80*120/1000000</f>
        <v>3.84</v>
      </c>
      <c r="K9" s="30">
        <v>4</v>
      </c>
      <c r="L9" s="19" t="s">
        <v>126</v>
      </c>
      <c r="M9" s="19" t="s">
        <v>126</v>
      </c>
      <c r="N9" s="19"/>
      <c r="O9" s="19"/>
    </row>
    <row r="10" spans="1:15" ht="19.5" customHeight="1">
      <c r="A10" s="29" t="s">
        <v>163</v>
      </c>
      <c r="B10" s="29" t="s">
        <v>164</v>
      </c>
      <c r="C10" s="29">
        <v>39055</v>
      </c>
      <c r="D10" s="29" t="s">
        <v>141</v>
      </c>
      <c r="E10" s="30">
        <v>0</v>
      </c>
      <c r="F10" s="29" t="s">
        <v>165</v>
      </c>
      <c r="G10" s="30">
        <v>30</v>
      </c>
      <c r="H10" s="29" t="s">
        <v>147</v>
      </c>
      <c r="I10" s="30">
        <v>1200</v>
      </c>
      <c r="J10" s="31">
        <f>12*100*80*120/1000000</f>
        <v>11.52</v>
      </c>
      <c r="K10" s="30">
        <v>12</v>
      </c>
      <c r="L10" s="19" t="s">
        <v>126</v>
      </c>
      <c r="M10" s="19" t="s">
        <v>126</v>
      </c>
      <c r="N10" s="19"/>
      <c r="O10" s="19"/>
    </row>
    <row r="11" spans="1:15" ht="19.5" customHeight="1">
      <c r="A11" s="29" t="s">
        <v>166</v>
      </c>
      <c r="B11" s="29" t="s">
        <v>167</v>
      </c>
      <c r="C11" s="29">
        <v>13320</v>
      </c>
      <c r="D11" s="29" t="s">
        <v>168</v>
      </c>
      <c r="E11" s="30">
        <v>4</v>
      </c>
      <c r="F11" s="29" t="s">
        <v>150</v>
      </c>
      <c r="G11" s="30">
        <v>30</v>
      </c>
      <c r="H11" s="29" t="s">
        <v>143</v>
      </c>
      <c r="I11" s="30">
        <v>4201</v>
      </c>
      <c r="J11" s="31">
        <f>10*100*80*120/1000000</f>
        <v>9.6</v>
      </c>
      <c r="K11" s="30">
        <v>10</v>
      </c>
      <c r="L11" s="19" t="s">
        <v>126</v>
      </c>
      <c r="M11" s="19" t="s">
        <v>126</v>
      </c>
      <c r="N11" s="19"/>
      <c r="O11" s="19"/>
    </row>
    <row r="12" spans="1:15" ht="19.5" customHeight="1">
      <c r="A12" s="29" t="s">
        <v>169</v>
      </c>
      <c r="B12" s="29" t="s">
        <v>170</v>
      </c>
      <c r="C12" s="29">
        <v>27020</v>
      </c>
      <c r="D12" s="29" t="s">
        <v>141</v>
      </c>
      <c r="E12" s="30">
        <v>0</v>
      </c>
      <c r="F12" s="29" t="s">
        <v>150</v>
      </c>
      <c r="G12" s="30">
        <v>30</v>
      </c>
      <c r="H12" s="29" t="s">
        <v>147</v>
      </c>
      <c r="I12" s="30">
        <v>25100</v>
      </c>
      <c r="J12" s="31">
        <f>33*100*80*120/1000000</f>
        <v>31.68</v>
      </c>
      <c r="K12" s="30">
        <v>33</v>
      </c>
      <c r="L12" s="19" t="s">
        <v>126</v>
      </c>
      <c r="M12" s="19" t="s">
        <v>126</v>
      </c>
    </row>
    <row r="13" spans="1:15" ht="19.5" customHeight="1">
      <c r="A13" s="29" t="s">
        <v>171</v>
      </c>
      <c r="B13" s="29" t="s">
        <v>172</v>
      </c>
      <c r="C13" s="29">
        <v>37020</v>
      </c>
      <c r="D13" s="29" t="s">
        <v>141</v>
      </c>
      <c r="E13" s="30">
        <v>0</v>
      </c>
      <c r="F13" s="29" t="s">
        <v>150</v>
      </c>
      <c r="G13" s="30">
        <v>30</v>
      </c>
      <c r="H13" s="29" t="s">
        <v>147</v>
      </c>
      <c r="I13" s="30">
        <v>6000</v>
      </c>
      <c r="J13" s="30">
        <f>(4*(120*100*100)+(150*80*100))/1000000</f>
        <v>6</v>
      </c>
      <c r="K13" s="30">
        <v>5</v>
      </c>
      <c r="L13" s="19" t="s">
        <v>126</v>
      </c>
      <c r="M13" s="19" t="s">
        <v>126</v>
      </c>
    </row>
    <row r="14" spans="1:15" ht="18.75" customHeight="1">
      <c r="A14" s="29" t="s">
        <v>173</v>
      </c>
      <c r="B14" s="29" t="s">
        <v>174</v>
      </c>
      <c r="C14" s="29">
        <v>25030</v>
      </c>
      <c r="D14" s="29" t="s">
        <v>141</v>
      </c>
      <c r="E14" s="30">
        <v>0</v>
      </c>
      <c r="F14" s="29" t="s">
        <v>175</v>
      </c>
      <c r="G14" s="30">
        <v>30</v>
      </c>
      <c r="H14" s="29" t="s">
        <v>147</v>
      </c>
      <c r="I14" s="31">
        <v>6675.74</v>
      </c>
      <c r="J14" s="31">
        <f>(9*(100*120*160)+ 4*(100*120*130))/1000000</f>
        <v>23.52</v>
      </c>
      <c r="K14" s="30">
        <v>13</v>
      </c>
      <c r="L14" s="19" t="s">
        <v>126</v>
      </c>
      <c r="M14" s="19" t="s">
        <v>126</v>
      </c>
    </row>
    <row r="15" spans="1:15" ht="18.75" customHeight="1">
      <c r="A15" s="29" t="s">
        <v>176</v>
      </c>
      <c r="B15" s="29" t="s">
        <v>177</v>
      </c>
      <c r="C15" s="29">
        <v>18026</v>
      </c>
      <c r="D15" s="29" t="s">
        <v>141</v>
      </c>
      <c r="E15" s="30">
        <v>0</v>
      </c>
      <c r="F15" s="29" t="s">
        <v>165</v>
      </c>
      <c r="G15" s="30">
        <v>30</v>
      </c>
      <c r="H15" s="29" t="s">
        <v>156</v>
      </c>
      <c r="I15" s="30">
        <v>850</v>
      </c>
      <c r="J15" s="31">
        <v>26.63</v>
      </c>
      <c r="K15" s="30">
        <v>6</v>
      </c>
      <c r="L15" s="19" t="s">
        <v>126</v>
      </c>
      <c r="M15" s="19" t="s">
        <v>126</v>
      </c>
    </row>
    <row r="16" spans="1:15" ht="18.75" customHeight="1">
      <c r="A16" s="29" t="s">
        <v>178</v>
      </c>
      <c r="B16" s="29" t="s">
        <v>179</v>
      </c>
      <c r="C16" s="29">
        <v>10042</v>
      </c>
      <c r="D16" s="29" t="s">
        <v>141</v>
      </c>
      <c r="E16" s="30">
        <v>0</v>
      </c>
      <c r="F16" s="29" t="s">
        <v>180</v>
      </c>
      <c r="G16" s="30">
        <v>30</v>
      </c>
      <c r="H16" s="29" t="s">
        <v>147</v>
      </c>
      <c r="I16" s="31">
        <v>74.010000000000005</v>
      </c>
      <c r="J16" s="31">
        <f>120*80*11/1000000</f>
        <v>0.1056</v>
      </c>
      <c r="K16" s="30">
        <v>1</v>
      </c>
      <c r="L16" s="19" t="s">
        <v>126</v>
      </c>
      <c r="M16" s="19" t="s">
        <v>126</v>
      </c>
    </row>
    <row r="17" spans="1:13" ht="18.75" customHeight="1">
      <c r="A17" s="29" t="s">
        <v>181</v>
      </c>
      <c r="B17" s="29" t="s">
        <v>182</v>
      </c>
      <c r="C17" s="29">
        <v>25126</v>
      </c>
      <c r="D17" s="29" t="s">
        <v>141</v>
      </c>
      <c r="E17" s="30">
        <v>0</v>
      </c>
      <c r="F17" s="29" t="s">
        <v>183</v>
      </c>
      <c r="G17" s="30">
        <v>30</v>
      </c>
      <c r="H17" s="29" t="s">
        <v>156</v>
      </c>
      <c r="I17" s="30">
        <v>598</v>
      </c>
      <c r="J17" s="16">
        <f>120*115*120/1000000</f>
        <v>1.6559999999999999</v>
      </c>
      <c r="K17" s="30">
        <v>1</v>
      </c>
      <c r="L17" s="19" t="s">
        <v>126</v>
      </c>
      <c r="M17" s="19" t="s">
        <v>126</v>
      </c>
    </row>
    <row r="18" spans="1:13" ht="18.75" customHeight="1">
      <c r="A18" s="29" t="s">
        <v>184</v>
      </c>
      <c r="B18" s="29" t="s">
        <v>185</v>
      </c>
      <c r="C18" s="29">
        <v>20884</v>
      </c>
      <c r="D18" s="29" t="s">
        <v>141</v>
      </c>
      <c r="E18" s="30">
        <v>0</v>
      </c>
      <c r="F18" s="29" t="s">
        <v>180</v>
      </c>
      <c r="G18" s="30">
        <v>30</v>
      </c>
      <c r="H18" s="29" t="s">
        <v>186</v>
      </c>
      <c r="I18" s="30">
        <v>2400</v>
      </c>
      <c r="J18" s="31">
        <f>4*100*120*100/1000000</f>
        <v>4.8</v>
      </c>
      <c r="K18" s="30">
        <v>4</v>
      </c>
      <c r="L18" s="19" t="s">
        <v>126</v>
      </c>
      <c r="M18" s="19" t="s">
        <v>126</v>
      </c>
    </row>
    <row r="19" spans="1:13" ht="18.75" customHeight="1">
      <c r="A19" s="29" t="s">
        <v>187</v>
      </c>
      <c r="B19" s="29" t="s">
        <v>188</v>
      </c>
      <c r="C19" s="29">
        <v>28015</v>
      </c>
      <c r="D19" s="29" t="s">
        <v>141</v>
      </c>
      <c r="E19" s="30">
        <v>0</v>
      </c>
      <c r="F19" s="29" t="s">
        <v>150</v>
      </c>
      <c r="G19" s="30">
        <v>30</v>
      </c>
      <c r="H19" s="29" t="s">
        <v>156</v>
      </c>
      <c r="I19" s="30">
        <v>486</v>
      </c>
      <c r="J19" s="16">
        <f>100*80*120/1000000</f>
        <v>0.96</v>
      </c>
      <c r="K19" s="30">
        <v>1</v>
      </c>
      <c r="L19" s="19" t="s">
        <v>126</v>
      </c>
      <c r="M19" s="19" t="s">
        <v>126</v>
      </c>
    </row>
    <row r="20" spans="1:13" ht="18.75" customHeight="1">
      <c r="A20" s="29" t="s">
        <v>189</v>
      </c>
      <c r="B20" s="29" t="s">
        <v>190</v>
      </c>
      <c r="C20" s="29">
        <v>28053</v>
      </c>
      <c r="D20" s="29" t="s">
        <v>141</v>
      </c>
      <c r="E20" s="30">
        <v>0</v>
      </c>
      <c r="F20" s="29" t="s">
        <v>150</v>
      </c>
      <c r="G20" s="30">
        <v>30</v>
      </c>
      <c r="H20" s="29" t="s">
        <v>156</v>
      </c>
      <c r="I20" s="30">
        <v>25</v>
      </c>
      <c r="J20" s="16">
        <f>2*60*20*50/1000000</f>
        <v>0.12</v>
      </c>
      <c r="K20" s="30">
        <v>2</v>
      </c>
      <c r="L20" s="19" t="s">
        <v>127</v>
      </c>
      <c r="M20" s="19" t="s">
        <v>126</v>
      </c>
    </row>
    <row r="21" spans="1:13" ht="18.75" customHeight="1">
      <c r="A21" s="29" t="s">
        <v>191</v>
      </c>
      <c r="B21" s="29" t="s">
        <v>192</v>
      </c>
      <c r="C21" s="29">
        <v>28046</v>
      </c>
      <c r="D21" s="29" t="s">
        <v>141</v>
      </c>
      <c r="E21" s="30">
        <v>0</v>
      </c>
      <c r="F21" s="29" t="s">
        <v>150</v>
      </c>
      <c r="G21" s="30">
        <v>30</v>
      </c>
      <c r="H21" s="29" t="s">
        <v>156</v>
      </c>
      <c r="I21" s="30">
        <v>6000</v>
      </c>
      <c r="J21" s="16">
        <f>6*120*115*120/1000000</f>
        <v>9.9359999999999999</v>
      </c>
      <c r="K21" s="30">
        <v>6</v>
      </c>
      <c r="L21" s="19" t="s">
        <v>126</v>
      </c>
      <c r="M21" s="19" t="s">
        <v>126</v>
      </c>
    </row>
    <row r="22" spans="1:13" ht="18.75" customHeight="1">
      <c r="A22" s="29" t="s">
        <v>193</v>
      </c>
      <c r="B22" s="29" t="s">
        <v>194</v>
      </c>
      <c r="C22" s="29">
        <v>20129</v>
      </c>
      <c r="D22" s="29" t="s">
        <v>141</v>
      </c>
      <c r="E22" s="30">
        <v>0</v>
      </c>
      <c r="F22" s="29" t="s">
        <v>150</v>
      </c>
      <c r="G22" s="30">
        <v>30</v>
      </c>
      <c r="H22" s="29" t="s">
        <v>186</v>
      </c>
      <c r="I22" s="15">
        <v>600</v>
      </c>
      <c r="J22" s="31">
        <f>6*100*80*120/1000000</f>
        <v>5.76</v>
      </c>
      <c r="K22" s="30">
        <v>6</v>
      </c>
      <c r="L22" s="19" t="s">
        <v>126</v>
      </c>
      <c r="M22" s="19" t="s">
        <v>126</v>
      </c>
    </row>
    <row r="23" spans="1:13" ht="18.75" customHeight="1">
      <c r="A23" s="29" t="s">
        <v>195</v>
      </c>
      <c r="B23" s="29" t="s">
        <v>196</v>
      </c>
      <c r="C23" s="29">
        <v>16043</v>
      </c>
      <c r="D23" s="29" t="s">
        <v>141</v>
      </c>
      <c r="E23" s="30">
        <v>0</v>
      </c>
      <c r="F23" s="29" t="s">
        <v>150</v>
      </c>
      <c r="G23" s="30">
        <v>30</v>
      </c>
      <c r="H23" s="29" t="s">
        <v>156</v>
      </c>
      <c r="I23" s="15">
        <v>600</v>
      </c>
      <c r="J23" s="31">
        <f>6*100*80*120/1000000</f>
        <v>5.76</v>
      </c>
      <c r="K23" s="30">
        <v>6</v>
      </c>
      <c r="L23" s="19" t="s">
        <v>126</v>
      </c>
      <c r="M23" s="19" t="s">
        <v>126</v>
      </c>
    </row>
    <row r="24" spans="1:13" ht="18.75" customHeight="1">
      <c r="A24" s="29" t="s">
        <v>197</v>
      </c>
      <c r="B24" s="29" t="s">
        <v>198</v>
      </c>
      <c r="C24" s="29">
        <v>60021</v>
      </c>
      <c r="D24" s="29" t="s">
        <v>141</v>
      </c>
      <c r="E24" s="30">
        <v>0</v>
      </c>
      <c r="F24" s="29" t="s">
        <v>150</v>
      </c>
      <c r="G24" s="30">
        <v>30</v>
      </c>
      <c r="H24" s="29" t="s">
        <v>156</v>
      </c>
      <c r="I24" s="15">
        <v>150</v>
      </c>
      <c r="J24" s="31">
        <f>2*100*80*120/1000000</f>
        <v>1.92</v>
      </c>
      <c r="K24" s="30">
        <v>2</v>
      </c>
      <c r="L24" s="19" t="s">
        <v>126</v>
      </c>
      <c r="M24" s="19" t="s">
        <v>126</v>
      </c>
    </row>
    <row r="25" spans="1:13" ht="18.75" customHeight="1">
      <c r="A25" s="29" t="s">
        <v>199</v>
      </c>
      <c r="B25" s="29" t="s">
        <v>200</v>
      </c>
      <c r="C25" s="29">
        <v>47895</v>
      </c>
      <c r="D25" s="29" t="s">
        <v>201</v>
      </c>
      <c r="E25" s="30">
        <v>0</v>
      </c>
      <c r="F25" s="29" t="s">
        <v>202</v>
      </c>
      <c r="G25" s="30">
        <v>30</v>
      </c>
      <c r="H25" s="29" t="s">
        <v>186</v>
      </c>
      <c r="I25" s="30">
        <v>520</v>
      </c>
      <c r="J25" s="31">
        <f>(3*(80*120*160)+(80*120*60))/1000000</f>
        <v>5.1840000000000002</v>
      </c>
      <c r="K25" s="30">
        <v>4</v>
      </c>
      <c r="L25" s="19" t="s">
        <v>127</v>
      </c>
      <c r="M25" s="29" t="s">
        <v>127</v>
      </c>
    </row>
    <row r="26" spans="1:13" ht="18.75" customHeight="1">
      <c r="A26" s="29" t="s">
        <v>203</v>
      </c>
      <c r="B26" s="29" t="s">
        <v>204</v>
      </c>
      <c r="C26" s="29">
        <v>28061</v>
      </c>
      <c r="D26" s="29" t="s">
        <v>141</v>
      </c>
      <c r="E26" s="30">
        <v>0</v>
      </c>
      <c r="F26" s="29" t="s">
        <v>150</v>
      </c>
      <c r="G26" s="30">
        <v>30</v>
      </c>
      <c r="H26" s="29" t="s">
        <v>143</v>
      </c>
      <c r="I26" s="30">
        <v>584</v>
      </c>
      <c r="J26" s="31">
        <f>100*80*120/1000000</f>
        <v>0.96</v>
      </c>
      <c r="K26" s="30">
        <v>1</v>
      </c>
      <c r="L26" s="19" t="s">
        <v>126</v>
      </c>
      <c r="M26" s="19" t="s">
        <v>126</v>
      </c>
    </row>
    <row r="27" spans="1:13" ht="18.75" customHeight="1">
      <c r="A27" s="29" t="s">
        <v>205</v>
      </c>
      <c r="B27" s="29" t="s">
        <v>206</v>
      </c>
      <c r="C27" s="29">
        <v>41012</v>
      </c>
      <c r="D27" s="29" t="s">
        <v>141</v>
      </c>
      <c r="E27" s="30">
        <v>0</v>
      </c>
      <c r="F27" s="29" t="s">
        <v>150</v>
      </c>
      <c r="G27" s="30">
        <v>30</v>
      </c>
      <c r="H27" s="29" t="s">
        <v>186</v>
      </c>
      <c r="I27" s="31">
        <v>517.86</v>
      </c>
      <c r="J27" s="31">
        <v>2.95</v>
      </c>
      <c r="K27" s="15">
        <v>1</v>
      </c>
      <c r="L27" s="19" t="s">
        <v>126</v>
      </c>
      <c r="M27" s="19" t="s">
        <v>126</v>
      </c>
    </row>
    <row r="28" spans="1:13" ht="18.75" customHeight="1">
      <c r="A28" s="29" t="s">
        <v>207</v>
      </c>
      <c r="B28" s="29" t="s">
        <v>208</v>
      </c>
      <c r="C28" s="29">
        <v>43029</v>
      </c>
      <c r="D28" s="29" t="s">
        <v>141</v>
      </c>
      <c r="E28" s="30">
        <v>0</v>
      </c>
      <c r="F28" s="29" t="s">
        <v>150</v>
      </c>
      <c r="G28" s="30">
        <v>30</v>
      </c>
      <c r="H28" s="29" t="s">
        <v>186</v>
      </c>
      <c r="I28" s="30">
        <v>2719</v>
      </c>
      <c r="J28" s="31">
        <v>7.6020000000000003</v>
      </c>
      <c r="K28" s="30">
        <v>10</v>
      </c>
      <c r="L28" s="19" t="s">
        <v>127</v>
      </c>
      <c r="M28" s="19" t="s">
        <v>126</v>
      </c>
    </row>
    <row r="29" spans="1:13" ht="18.75" customHeight="1">
      <c r="A29" s="29" t="s">
        <v>209</v>
      </c>
      <c r="B29" s="29" t="s">
        <v>210</v>
      </c>
      <c r="C29" s="29">
        <v>34126</v>
      </c>
      <c r="D29" s="29" t="s">
        <v>141</v>
      </c>
      <c r="E29" s="30">
        <v>0</v>
      </c>
      <c r="F29" s="29" t="s">
        <v>150</v>
      </c>
      <c r="G29" s="30">
        <v>30</v>
      </c>
      <c r="H29" s="29" t="s">
        <v>143</v>
      </c>
      <c r="I29" s="30">
        <v>10000</v>
      </c>
      <c r="J29" s="30">
        <v>12</v>
      </c>
      <c r="K29" s="30">
        <v>15</v>
      </c>
      <c r="L29" s="19" t="s">
        <v>126</v>
      </c>
      <c r="M29" s="19" t="s">
        <v>126</v>
      </c>
    </row>
    <row r="30" spans="1:13" ht="18.75" customHeight="1">
      <c r="A30" s="29" t="s">
        <v>211</v>
      </c>
      <c r="B30" s="29" t="s">
        <v>212</v>
      </c>
      <c r="C30" s="29">
        <v>33036</v>
      </c>
      <c r="D30" s="29" t="s">
        <v>141</v>
      </c>
      <c r="E30" s="30">
        <v>0</v>
      </c>
      <c r="F30" s="29" t="s">
        <v>150</v>
      </c>
      <c r="G30" s="30">
        <v>30</v>
      </c>
      <c r="H30" s="29" t="s">
        <v>186</v>
      </c>
      <c r="I30" s="30">
        <v>1328</v>
      </c>
      <c r="J30" s="16">
        <f>(9*(100*120*160)+ 4*(100*120*130))/1000000</f>
        <v>23.52</v>
      </c>
      <c r="K30" s="30">
        <v>8</v>
      </c>
      <c r="L30" s="19" t="s">
        <v>127</v>
      </c>
      <c r="M30" s="19" t="s">
        <v>126</v>
      </c>
    </row>
    <row r="31" spans="1:13" ht="18.75" customHeight="1">
      <c r="A31" s="29" t="s">
        <v>213</v>
      </c>
      <c r="B31" s="29" t="s">
        <v>214</v>
      </c>
      <c r="C31" s="29">
        <v>33036</v>
      </c>
      <c r="D31" s="29" t="s">
        <v>141</v>
      </c>
      <c r="E31" s="30">
        <v>0</v>
      </c>
      <c r="F31" s="29" t="s">
        <v>150</v>
      </c>
      <c r="G31" s="30">
        <v>30</v>
      </c>
      <c r="H31" s="29" t="s">
        <v>186</v>
      </c>
      <c r="I31" s="30">
        <v>10</v>
      </c>
      <c r="J31" s="31">
        <v>1.7999999999999999E-2</v>
      </c>
      <c r="K31" s="30">
        <v>1</v>
      </c>
      <c r="L31" s="19" t="s">
        <v>126</v>
      </c>
      <c r="M31" s="19" t="s">
        <v>126</v>
      </c>
    </row>
    <row r="32" spans="1:13" ht="18.75" customHeight="1">
      <c r="A32" s="29" t="s">
        <v>215</v>
      </c>
      <c r="B32" s="29" t="s">
        <v>216</v>
      </c>
      <c r="C32" s="29">
        <v>12100</v>
      </c>
      <c r="D32" s="29" t="s">
        <v>141</v>
      </c>
      <c r="E32" s="30">
        <v>0</v>
      </c>
      <c r="F32" s="29" t="s">
        <v>150</v>
      </c>
      <c r="G32" s="30">
        <v>30</v>
      </c>
      <c r="H32" s="29" t="s">
        <v>143</v>
      </c>
      <c r="I32" s="30">
        <v>2447</v>
      </c>
      <c r="J32" s="16">
        <f>(9*(100*120*160)+ 4*(100*120*130))/1000000</f>
        <v>23.52</v>
      </c>
      <c r="K32" s="30">
        <v>6</v>
      </c>
      <c r="L32" s="19" t="s">
        <v>126</v>
      </c>
      <c r="M32" s="19" t="s">
        <v>126</v>
      </c>
    </row>
    <row r="33" spans="1:13" ht="18.75" customHeight="1">
      <c r="A33" s="29" t="s">
        <v>217</v>
      </c>
      <c r="B33" s="29" t="s">
        <v>218</v>
      </c>
      <c r="C33" s="29">
        <v>14040</v>
      </c>
      <c r="D33" s="29" t="s">
        <v>141</v>
      </c>
      <c r="E33" s="30">
        <v>0</v>
      </c>
      <c r="F33" s="29" t="s">
        <v>219</v>
      </c>
      <c r="G33" s="30">
        <v>30</v>
      </c>
      <c r="H33" s="29" t="s">
        <v>186</v>
      </c>
      <c r="I33" s="30">
        <v>1000</v>
      </c>
      <c r="J33" s="16">
        <f>2.06*2.3*4.6</f>
        <v>21.794799999999995</v>
      </c>
      <c r="K33" s="15">
        <v>10</v>
      </c>
      <c r="L33" s="19" t="s">
        <v>126</v>
      </c>
      <c r="M33" s="19" t="s">
        <v>126</v>
      </c>
    </row>
    <row r="34" spans="1:13" ht="18.75" customHeight="1">
      <c r="A34" s="29" t="s">
        <v>220</v>
      </c>
      <c r="B34" s="29" t="s">
        <v>221</v>
      </c>
      <c r="C34" s="29">
        <v>10040</v>
      </c>
      <c r="D34" s="29" t="s">
        <v>141</v>
      </c>
      <c r="E34" s="30">
        <v>0</v>
      </c>
      <c r="F34" s="29" t="s">
        <v>150</v>
      </c>
      <c r="G34" s="30">
        <v>30</v>
      </c>
      <c r="H34" s="29" t="s">
        <v>156</v>
      </c>
      <c r="I34" s="16">
        <v>6675.74</v>
      </c>
      <c r="J34" s="16">
        <f>(9*(100*120*160)+ 4*(100*120*130))/1000000</f>
        <v>23.52</v>
      </c>
      <c r="K34" s="30">
        <v>13</v>
      </c>
      <c r="L34" s="19" t="s">
        <v>126</v>
      </c>
      <c r="M34" s="19" t="s">
        <v>126</v>
      </c>
    </row>
    <row r="35" spans="1:13" ht="18.75" customHeight="1">
      <c r="A35" s="29" t="s">
        <v>222</v>
      </c>
      <c r="B35" s="29" t="s">
        <v>223</v>
      </c>
      <c r="C35" s="29">
        <v>10020</v>
      </c>
      <c r="D35" s="29" t="s">
        <v>141</v>
      </c>
      <c r="E35" s="30">
        <v>0</v>
      </c>
      <c r="F35" s="29" t="s">
        <v>150</v>
      </c>
      <c r="G35" s="30">
        <v>30</v>
      </c>
      <c r="H35" s="29" t="s">
        <v>143</v>
      </c>
      <c r="I35" s="15">
        <v>486</v>
      </c>
      <c r="J35" s="16">
        <f>100*80*120/1000000</f>
        <v>0.96</v>
      </c>
      <c r="K35" s="30">
        <v>1</v>
      </c>
      <c r="L35" s="19" t="s">
        <v>126</v>
      </c>
      <c r="M35" s="19" t="s">
        <v>126</v>
      </c>
    </row>
    <row r="36" spans="1:13" ht="18.75" customHeight="1">
      <c r="A36" s="29" t="s">
        <v>224</v>
      </c>
      <c r="B36" s="29" t="s">
        <v>225</v>
      </c>
      <c r="C36" s="29">
        <v>15076</v>
      </c>
      <c r="D36" s="29" t="s">
        <v>141</v>
      </c>
      <c r="E36" s="30">
        <v>0</v>
      </c>
      <c r="F36" s="29" t="s">
        <v>150</v>
      </c>
      <c r="G36" s="30">
        <v>30</v>
      </c>
      <c r="H36" s="29" t="s">
        <v>143</v>
      </c>
      <c r="I36" s="30">
        <v>4053</v>
      </c>
      <c r="J36" s="31">
        <v>1.54</v>
      </c>
      <c r="K36" s="30">
        <v>2</v>
      </c>
      <c r="L36" s="19" t="s">
        <v>126</v>
      </c>
      <c r="M36" s="19" t="s">
        <v>126</v>
      </c>
    </row>
    <row r="37" spans="1:13" ht="18.75" customHeight="1">
      <c r="A37" s="29" t="s">
        <v>226</v>
      </c>
      <c r="B37" s="29" t="s">
        <v>227</v>
      </c>
      <c r="C37" s="29">
        <v>33043</v>
      </c>
      <c r="D37" s="29" t="s">
        <v>141</v>
      </c>
      <c r="E37" s="30">
        <v>1</v>
      </c>
      <c r="F37" s="29" t="s">
        <v>150</v>
      </c>
      <c r="G37" s="30">
        <v>30</v>
      </c>
      <c r="H37" s="29" t="s">
        <v>143</v>
      </c>
      <c r="I37" s="30">
        <f>4*600+400</f>
        <v>2800</v>
      </c>
      <c r="J37" s="16">
        <f>5*100*120*80/1000000</f>
        <v>4.8</v>
      </c>
      <c r="K37" s="30">
        <v>5</v>
      </c>
      <c r="L37" s="19" t="s">
        <v>126</v>
      </c>
      <c r="M37" s="19" t="s">
        <v>126</v>
      </c>
    </row>
    <row r="38" spans="1:13" ht="18.75" customHeight="1">
      <c r="A38" s="29" t="s">
        <v>228</v>
      </c>
      <c r="B38" s="29" t="s">
        <v>229</v>
      </c>
      <c r="C38" s="29">
        <v>20044</v>
      </c>
      <c r="D38" s="29" t="s">
        <v>141</v>
      </c>
      <c r="E38" s="30">
        <v>0</v>
      </c>
      <c r="F38" s="29" t="s">
        <v>150</v>
      </c>
      <c r="G38" s="30">
        <v>30</v>
      </c>
      <c r="H38" s="29" t="s">
        <v>143</v>
      </c>
      <c r="I38" s="16">
        <v>6675.74</v>
      </c>
      <c r="J38" s="16">
        <f>(9*(100*120*160)+ 4*(100*120*130))/1000000</f>
        <v>23.52</v>
      </c>
      <c r="K38" s="30">
        <v>13</v>
      </c>
      <c r="L38" s="19" t="s">
        <v>126</v>
      </c>
      <c r="M38" s="19" t="s">
        <v>126</v>
      </c>
    </row>
    <row r="39" spans="1:13" ht="18.75" customHeight="1">
      <c r="A39" s="29" t="s">
        <v>230</v>
      </c>
      <c r="B39" s="29" t="s">
        <v>231</v>
      </c>
      <c r="C39" s="29">
        <v>20143</v>
      </c>
      <c r="D39" s="29" t="s">
        <v>141</v>
      </c>
      <c r="E39" s="30">
        <v>0</v>
      </c>
      <c r="F39" s="29" t="s">
        <v>232</v>
      </c>
      <c r="G39" s="30">
        <v>30</v>
      </c>
      <c r="H39" s="29" t="s">
        <v>143</v>
      </c>
      <c r="I39" s="30">
        <v>3400</v>
      </c>
      <c r="J39" s="16">
        <f>100*80*120/1000000</f>
        <v>0.96</v>
      </c>
      <c r="K39" s="30">
        <v>1</v>
      </c>
      <c r="L39" s="19" t="s">
        <v>127</v>
      </c>
      <c r="M39" s="19" t="s">
        <v>126</v>
      </c>
    </row>
    <row r="40" spans="1:13" ht="18.75" customHeight="1">
      <c r="A40" s="29" t="s">
        <v>233</v>
      </c>
      <c r="B40" s="29" t="s">
        <v>234</v>
      </c>
      <c r="C40" s="29">
        <v>20093</v>
      </c>
      <c r="D40" s="29" t="s">
        <v>141</v>
      </c>
      <c r="E40" s="30">
        <v>0</v>
      </c>
      <c r="F40" s="29" t="s">
        <v>150</v>
      </c>
      <c r="G40" s="30">
        <v>30</v>
      </c>
      <c r="H40" s="29" t="s">
        <v>143</v>
      </c>
      <c r="I40" s="30">
        <v>5064</v>
      </c>
      <c r="J40" s="16">
        <f>3*100*80*120/1000000</f>
        <v>2.88</v>
      </c>
      <c r="K40" s="30">
        <v>3</v>
      </c>
      <c r="L40" s="19" t="s">
        <v>127</v>
      </c>
      <c r="M40" s="19" t="s">
        <v>126</v>
      </c>
    </row>
    <row r="41" spans="1:13" ht="18.75" customHeight="1">
      <c r="A41" s="29" t="s">
        <v>235</v>
      </c>
      <c r="B41" s="29" t="s">
        <v>236</v>
      </c>
      <c r="C41" s="29">
        <v>21050</v>
      </c>
      <c r="D41" s="29" t="s">
        <v>141</v>
      </c>
      <c r="E41" s="30">
        <v>0</v>
      </c>
      <c r="F41" s="29" t="s">
        <v>202</v>
      </c>
      <c r="G41" s="30">
        <v>30</v>
      </c>
      <c r="H41" s="29" t="s">
        <v>186</v>
      </c>
      <c r="I41" s="30">
        <v>298</v>
      </c>
      <c r="J41" s="31">
        <f>100*120*160/1000000</f>
        <v>1.92</v>
      </c>
      <c r="K41" s="30">
        <v>1</v>
      </c>
      <c r="L41" s="19" t="s">
        <v>127</v>
      </c>
      <c r="M41" s="19" t="s">
        <v>126</v>
      </c>
    </row>
    <row r="42" spans="1:13" ht="18.75" customHeight="1">
      <c r="A42" s="29" t="s">
        <v>237</v>
      </c>
      <c r="B42" s="29" t="s">
        <v>238</v>
      </c>
      <c r="C42" s="29">
        <v>20060</v>
      </c>
      <c r="D42" s="29" t="s">
        <v>141</v>
      </c>
      <c r="E42" s="30">
        <v>1</v>
      </c>
      <c r="F42" s="29" t="s">
        <v>150</v>
      </c>
      <c r="G42" s="30">
        <v>30</v>
      </c>
      <c r="H42" s="29" t="s">
        <v>156</v>
      </c>
      <c r="I42" s="30">
        <v>298</v>
      </c>
      <c r="J42" s="31">
        <f>100*120*161/1000000</f>
        <v>1.9319999999999999</v>
      </c>
      <c r="K42" s="30">
        <v>1</v>
      </c>
      <c r="L42" s="19" t="s">
        <v>127</v>
      </c>
      <c r="M42" s="19" t="s">
        <v>126</v>
      </c>
    </row>
    <row r="43" spans="1:13" ht="18.75" customHeight="1">
      <c r="A43" s="29" t="s">
        <v>239</v>
      </c>
      <c r="B43" s="29" t="s">
        <v>240</v>
      </c>
      <c r="C43" s="29">
        <v>41019</v>
      </c>
      <c r="D43" s="29" t="s">
        <v>141</v>
      </c>
      <c r="E43" s="30">
        <v>0</v>
      </c>
      <c r="F43" s="29" t="s">
        <v>150</v>
      </c>
      <c r="G43" s="30">
        <v>30</v>
      </c>
      <c r="H43" s="29" t="s">
        <v>156</v>
      </c>
      <c r="I43" s="30">
        <v>400</v>
      </c>
      <c r="J43" s="16">
        <v>2.5</v>
      </c>
      <c r="K43" s="30">
        <v>2</v>
      </c>
      <c r="L43" s="19" t="s">
        <v>126</v>
      </c>
      <c r="M43" s="19" t="s">
        <v>126</v>
      </c>
    </row>
    <row r="44" spans="1:13" ht="18.75" customHeight="1">
      <c r="A44" s="29"/>
      <c r="B44" s="29"/>
      <c r="C44" s="29"/>
      <c r="D44" s="29"/>
      <c r="E44" s="30"/>
      <c r="F44" s="29"/>
      <c r="G44" s="32"/>
      <c r="H44" s="29"/>
      <c r="I44" s="32"/>
      <c r="J44" s="33"/>
      <c r="K44" s="32"/>
      <c r="L44" s="34"/>
      <c r="M44" s="34"/>
    </row>
    <row r="45" spans="1:13" ht="18.75" customHeight="1">
      <c r="A45" s="34"/>
      <c r="B45" s="34"/>
      <c r="C45" s="34"/>
      <c r="D45" s="34"/>
      <c r="E45" s="32"/>
      <c r="F45" s="34"/>
      <c r="G45" s="32"/>
      <c r="H45" s="34"/>
      <c r="I45" s="32"/>
      <c r="J45" s="33"/>
      <c r="K45" s="32"/>
      <c r="L45" s="34"/>
      <c r="M45" s="34"/>
    </row>
    <row r="46" spans="1:13" ht="18.75" customHeight="1">
      <c r="A46" s="34"/>
      <c r="B46" s="34"/>
      <c r="C46" s="34"/>
      <c r="D46" s="34"/>
      <c r="E46" s="32"/>
      <c r="F46" s="34"/>
      <c r="G46" s="32"/>
      <c r="H46" s="34"/>
      <c r="I46" s="32"/>
      <c r="J46" s="33"/>
      <c r="K46" s="32"/>
      <c r="L46" s="34"/>
      <c r="M46" s="34"/>
    </row>
    <row r="47" spans="1:13" ht="18.75" customHeight="1">
      <c r="A47" s="34"/>
      <c r="B47" s="34"/>
      <c r="C47" s="34"/>
      <c r="D47" s="34"/>
      <c r="E47" s="32"/>
      <c r="F47" s="34"/>
      <c r="G47" s="32"/>
      <c r="H47" s="34"/>
      <c r="I47" s="32"/>
      <c r="J47" s="33"/>
      <c r="K47" s="32"/>
      <c r="L47" s="34"/>
      <c r="M47" s="34"/>
    </row>
    <row r="48" spans="1:13" ht="18.75" customHeight="1">
      <c r="A48" s="34"/>
      <c r="B48" s="34"/>
      <c r="C48" s="34"/>
      <c r="D48" s="34"/>
      <c r="E48" s="32"/>
      <c r="F48" s="34"/>
      <c r="G48" s="32"/>
      <c r="H48" s="34"/>
      <c r="I48" s="32"/>
      <c r="J48" s="33"/>
      <c r="K48" s="32"/>
      <c r="L48" s="34"/>
      <c r="M48" s="34"/>
    </row>
    <row r="49" spans="1:13" ht="18.75" customHeight="1">
      <c r="A49" s="34"/>
      <c r="B49" s="34"/>
      <c r="C49" s="34"/>
      <c r="D49" s="34"/>
      <c r="E49" s="32"/>
      <c r="F49" s="34"/>
      <c r="G49" s="32"/>
      <c r="H49" s="34"/>
      <c r="I49" s="32"/>
      <c r="J49" s="33"/>
      <c r="K49" s="32"/>
      <c r="L49" s="34"/>
      <c r="M49" s="34"/>
    </row>
    <row r="50" spans="1:13" ht="18.75" customHeight="1">
      <c r="A50" s="34"/>
      <c r="B50" s="34"/>
      <c r="C50" s="34"/>
      <c r="D50" s="34"/>
      <c r="E50" s="32"/>
      <c r="F50" s="34"/>
      <c r="G50" s="32"/>
      <c r="H50" s="34"/>
      <c r="I50" s="32"/>
      <c r="J50" s="33"/>
      <c r="K50" s="32"/>
      <c r="L50" s="34"/>
      <c r="M50" s="34"/>
    </row>
    <row r="51" spans="1:13" ht="18.75" customHeight="1">
      <c r="A51" s="34"/>
      <c r="B51" s="34"/>
      <c r="C51" s="34"/>
      <c r="D51" s="34"/>
      <c r="E51" s="32"/>
      <c r="F51" s="34"/>
      <c r="G51" s="32"/>
      <c r="H51" s="34"/>
      <c r="I51" s="32"/>
      <c r="J51" s="33"/>
      <c r="K51" s="32"/>
      <c r="L51" s="34"/>
      <c r="M51" s="34"/>
    </row>
    <row r="52" spans="1:13" ht="18.75" customHeight="1">
      <c r="A52" s="34"/>
      <c r="B52" s="34"/>
      <c r="C52" s="34"/>
      <c r="D52" s="34"/>
      <c r="E52" s="32"/>
      <c r="F52" s="34"/>
      <c r="G52" s="32"/>
      <c r="H52" s="34"/>
      <c r="I52" s="32"/>
      <c r="J52" s="33"/>
      <c r="K52" s="32"/>
      <c r="L52" s="34"/>
      <c r="M52" s="34"/>
    </row>
    <row r="53" spans="1:13" ht="18.75" customHeight="1">
      <c r="A53" s="34"/>
      <c r="B53" s="34"/>
      <c r="C53" s="34"/>
      <c r="D53" s="34"/>
      <c r="E53" s="32"/>
      <c r="F53" s="34"/>
      <c r="G53" s="32"/>
      <c r="H53" s="34"/>
      <c r="I53" s="32"/>
      <c r="J53" s="33"/>
      <c r="K53" s="32"/>
      <c r="L53" s="34"/>
      <c r="M53" s="34"/>
    </row>
    <row r="54" spans="1:13" ht="18.75" customHeight="1">
      <c r="A54" s="34"/>
      <c r="B54" s="34"/>
      <c r="C54" s="34"/>
      <c r="D54" s="34"/>
      <c r="E54" s="32"/>
      <c r="F54" s="34"/>
      <c r="G54" s="32"/>
      <c r="H54" s="34"/>
      <c r="I54" s="32"/>
      <c r="J54" s="33"/>
      <c r="K54" s="32"/>
      <c r="L54" s="34"/>
      <c r="M54" s="34"/>
    </row>
    <row r="55" spans="1:13" ht="18.75" customHeight="1">
      <c r="A55" s="34"/>
      <c r="B55" s="34"/>
      <c r="C55" s="34"/>
      <c r="D55" s="34"/>
      <c r="E55" s="32"/>
      <c r="F55" s="34"/>
      <c r="G55" s="32"/>
      <c r="H55" s="34"/>
      <c r="I55" s="32"/>
      <c r="J55" s="33"/>
      <c r="K55" s="32"/>
      <c r="L55" s="34"/>
      <c r="M55" s="34"/>
    </row>
    <row r="56" spans="1:13" ht="18.75" customHeight="1">
      <c r="A56" s="34"/>
      <c r="B56" s="34"/>
      <c r="C56" s="34"/>
      <c r="D56" s="34"/>
      <c r="E56" s="32"/>
      <c r="F56" s="34"/>
      <c r="G56" s="32"/>
      <c r="H56" s="34"/>
      <c r="I56" s="32"/>
      <c r="J56" s="33"/>
      <c r="K56" s="32"/>
      <c r="L56" s="34"/>
      <c r="M56" s="34"/>
    </row>
    <row r="57" spans="1:13" ht="18.75" customHeight="1">
      <c r="A57" s="34"/>
      <c r="B57" s="34"/>
      <c r="C57" s="34"/>
      <c r="D57" s="34"/>
      <c r="E57" s="32"/>
      <c r="F57" s="34"/>
      <c r="G57" s="32"/>
      <c r="H57" s="34"/>
      <c r="I57" s="32"/>
      <c r="J57" s="33"/>
      <c r="K57" s="32"/>
      <c r="L57" s="34"/>
      <c r="M57" s="34"/>
    </row>
    <row r="58" spans="1:13" ht="18.75" customHeight="1">
      <c r="A58" s="34"/>
      <c r="B58" s="34"/>
      <c r="C58" s="34"/>
      <c r="D58" s="34"/>
      <c r="E58" s="32"/>
      <c r="F58" s="34"/>
      <c r="G58" s="32"/>
      <c r="H58" s="34"/>
      <c r="I58" s="32"/>
      <c r="J58" s="33"/>
      <c r="K58" s="32"/>
      <c r="L58" s="34"/>
      <c r="M58" s="34"/>
    </row>
    <row r="59" spans="1:13" ht="18.75" customHeight="1">
      <c r="A59" s="34"/>
      <c r="B59" s="34"/>
      <c r="C59" s="34"/>
      <c r="D59" s="34"/>
      <c r="E59" s="32"/>
      <c r="F59" s="34"/>
      <c r="G59" s="32"/>
      <c r="H59" s="34"/>
      <c r="I59" s="32"/>
      <c r="J59" s="33"/>
      <c r="K59" s="32"/>
      <c r="L59" s="34"/>
      <c r="M59" s="34"/>
    </row>
    <row r="60" spans="1:13" ht="18.75" customHeight="1">
      <c r="A60" s="34"/>
      <c r="B60" s="34"/>
      <c r="C60" s="34"/>
      <c r="D60" s="34"/>
      <c r="E60" s="32"/>
      <c r="F60" s="34"/>
      <c r="G60" s="32"/>
      <c r="H60" s="34"/>
      <c r="I60" s="32"/>
      <c r="J60" s="33"/>
      <c r="K60" s="32"/>
      <c r="L60" s="34"/>
      <c r="M60" s="34"/>
    </row>
    <row r="61" spans="1:13" ht="18.75" customHeight="1">
      <c r="A61" s="34"/>
      <c r="B61" s="34"/>
      <c r="C61" s="34"/>
      <c r="D61" s="34"/>
      <c r="E61" s="32"/>
      <c r="F61" s="34"/>
      <c r="G61" s="32"/>
      <c r="H61" s="34"/>
      <c r="I61" s="32"/>
      <c r="J61" s="33"/>
      <c r="K61" s="32"/>
      <c r="L61" s="34"/>
      <c r="M61" s="34"/>
    </row>
    <row r="62" spans="1:13" ht="18.75" customHeight="1">
      <c r="A62" s="34"/>
      <c r="B62" s="34"/>
      <c r="C62" s="34"/>
      <c r="D62" s="34"/>
      <c r="E62" s="32"/>
      <c r="F62" s="34"/>
      <c r="G62" s="32"/>
      <c r="H62" s="34"/>
      <c r="I62" s="32"/>
      <c r="J62" s="33"/>
      <c r="K62" s="32"/>
      <c r="L62" s="34"/>
      <c r="M62" s="34"/>
    </row>
    <row r="63" spans="1:13" ht="18.75" customHeight="1">
      <c r="A63" s="34"/>
      <c r="B63" s="34"/>
      <c r="C63" s="34"/>
      <c r="D63" s="34"/>
      <c r="E63" s="32"/>
      <c r="F63" s="34"/>
      <c r="G63" s="32"/>
      <c r="H63" s="34"/>
      <c r="I63" s="32"/>
      <c r="J63" s="33"/>
      <c r="K63" s="32"/>
      <c r="L63" s="34"/>
      <c r="M63" s="34"/>
    </row>
    <row r="64" spans="1:13" ht="18.75" customHeight="1">
      <c r="A64" s="34"/>
      <c r="B64" s="34"/>
      <c r="C64" s="34"/>
      <c r="D64" s="34"/>
      <c r="E64" s="32"/>
      <c r="F64" s="34"/>
      <c r="G64" s="32"/>
      <c r="H64" s="34"/>
      <c r="I64" s="32"/>
      <c r="J64" s="33"/>
      <c r="K64" s="32"/>
      <c r="L64" s="34"/>
      <c r="M64" s="34"/>
    </row>
    <row r="65" spans="1:13" ht="18.75" customHeight="1">
      <c r="A65" s="34"/>
      <c r="B65" s="34"/>
      <c r="C65" s="34"/>
      <c r="D65" s="34"/>
      <c r="E65" s="32"/>
      <c r="F65" s="34"/>
      <c r="G65" s="32"/>
      <c r="H65" s="34"/>
      <c r="I65" s="32"/>
      <c r="J65" s="33"/>
      <c r="K65" s="32"/>
      <c r="L65" s="34"/>
      <c r="M65" s="34"/>
    </row>
    <row r="66" spans="1:13" ht="18.75" customHeight="1">
      <c r="A66" s="34"/>
      <c r="B66" s="34"/>
      <c r="C66" s="34"/>
      <c r="D66" s="34"/>
      <c r="E66" s="32"/>
      <c r="F66" s="34"/>
      <c r="G66" s="32"/>
      <c r="H66" s="34"/>
      <c r="I66" s="32"/>
      <c r="J66" s="33"/>
      <c r="K66" s="32"/>
      <c r="L66" s="34"/>
      <c r="M66" s="34"/>
    </row>
    <row r="67" spans="1:13" ht="18.75" customHeight="1">
      <c r="A67" s="34"/>
      <c r="B67" s="34"/>
      <c r="C67" s="34"/>
      <c r="D67" s="34"/>
      <c r="E67" s="32"/>
      <c r="F67" s="34"/>
      <c r="G67" s="32"/>
      <c r="H67" s="34"/>
      <c r="I67" s="32"/>
      <c r="J67" s="33"/>
      <c r="K67" s="32"/>
      <c r="L67" s="34"/>
      <c r="M67" s="34"/>
    </row>
    <row r="68" spans="1:13" ht="18.75" customHeight="1">
      <c r="A68" s="34"/>
      <c r="B68" s="34"/>
      <c r="C68" s="34"/>
      <c r="D68" s="34"/>
      <c r="E68" s="32"/>
      <c r="F68" s="34"/>
      <c r="G68" s="32"/>
      <c r="H68" s="34"/>
      <c r="I68" s="32"/>
      <c r="J68" s="33"/>
      <c r="K68" s="32"/>
      <c r="L68" s="34"/>
      <c r="M68" s="34"/>
    </row>
    <row r="69" spans="1:13" ht="18.75" customHeight="1">
      <c r="A69" s="34"/>
      <c r="B69" s="34"/>
      <c r="C69" s="34"/>
      <c r="D69" s="34"/>
      <c r="E69" s="32"/>
      <c r="F69" s="34"/>
      <c r="G69" s="32"/>
      <c r="H69" s="34"/>
      <c r="I69" s="32"/>
      <c r="J69" s="33"/>
      <c r="K69" s="32"/>
      <c r="L69" s="34"/>
      <c r="M69" s="34"/>
    </row>
    <row r="70" spans="1:13" ht="18.75" customHeight="1">
      <c r="A70" s="34"/>
      <c r="B70" s="34"/>
      <c r="C70" s="34"/>
      <c r="D70" s="34"/>
      <c r="E70" s="32"/>
      <c r="F70" s="34"/>
      <c r="G70" s="32"/>
      <c r="H70" s="34"/>
      <c r="I70" s="32"/>
      <c r="J70" s="33"/>
      <c r="K70" s="32"/>
      <c r="L70" s="34"/>
      <c r="M70" s="34"/>
    </row>
    <row r="71" spans="1:13" ht="18.75" customHeight="1">
      <c r="A71" s="34"/>
      <c r="B71" s="34"/>
      <c r="C71" s="34"/>
      <c r="D71" s="34"/>
      <c r="E71" s="32"/>
      <c r="F71" s="34"/>
      <c r="G71" s="32"/>
      <c r="H71" s="34"/>
      <c r="I71" s="32"/>
      <c r="J71" s="33"/>
      <c r="K71" s="32"/>
      <c r="L71" s="34"/>
      <c r="M71" s="34"/>
    </row>
    <row r="72" spans="1:13" ht="18.75" customHeight="1">
      <c r="A72" s="34"/>
      <c r="B72" s="34"/>
      <c r="C72" s="34"/>
      <c r="D72" s="34"/>
      <c r="E72" s="32"/>
      <c r="F72" s="34"/>
      <c r="G72" s="32"/>
      <c r="H72" s="34"/>
      <c r="I72" s="32"/>
      <c r="J72" s="33"/>
      <c r="K72" s="32"/>
      <c r="L72" s="34"/>
      <c r="M72" s="34"/>
    </row>
    <row r="73" spans="1:13" ht="18.75" customHeight="1">
      <c r="A73" s="34"/>
      <c r="B73" s="34"/>
      <c r="C73" s="34"/>
      <c r="D73" s="34"/>
      <c r="E73" s="32"/>
      <c r="F73" s="34"/>
      <c r="G73" s="32"/>
      <c r="H73" s="34"/>
      <c r="I73" s="32"/>
      <c r="J73" s="33"/>
      <c r="K73" s="32"/>
      <c r="L73" s="34"/>
      <c r="M73" s="34"/>
    </row>
    <row r="74" spans="1:13" ht="18.75" customHeight="1">
      <c r="A74" s="34"/>
      <c r="B74" s="34"/>
      <c r="C74" s="34"/>
      <c r="D74" s="34"/>
      <c r="E74" s="32"/>
      <c r="F74" s="34"/>
      <c r="G74" s="32"/>
      <c r="H74" s="34"/>
      <c r="I74" s="32"/>
      <c r="J74" s="33"/>
      <c r="K74" s="32"/>
      <c r="L74" s="34"/>
      <c r="M74" s="34"/>
    </row>
    <row r="75" spans="1:13" ht="18.75" customHeight="1">
      <c r="A75" s="34"/>
      <c r="B75" s="34"/>
      <c r="C75" s="34"/>
      <c r="D75" s="34"/>
      <c r="E75" s="32"/>
      <c r="F75" s="34"/>
      <c r="G75" s="32"/>
      <c r="H75" s="34"/>
      <c r="I75" s="32"/>
      <c r="J75" s="33"/>
      <c r="K75" s="32"/>
      <c r="L75" s="34"/>
      <c r="M75" s="34"/>
    </row>
    <row r="76" spans="1:13" ht="18.75" customHeight="1">
      <c r="A76" s="34"/>
      <c r="B76" s="34"/>
      <c r="C76" s="34"/>
      <c r="D76" s="34"/>
      <c r="E76" s="32"/>
      <c r="F76" s="34"/>
      <c r="G76" s="32"/>
      <c r="H76" s="34"/>
      <c r="I76" s="32"/>
      <c r="J76" s="33"/>
      <c r="K76" s="32"/>
      <c r="L76" s="34"/>
      <c r="M76" s="34"/>
    </row>
    <row r="77" spans="1:13" ht="18.75" customHeight="1">
      <c r="A77" s="34"/>
      <c r="B77" s="34"/>
      <c r="C77" s="34"/>
      <c r="D77" s="34"/>
      <c r="E77" s="32"/>
      <c r="F77" s="34"/>
      <c r="G77" s="32"/>
      <c r="H77" s="34"/>
      <c r="I77" s="32"/>
      <c r="J77" s="33"/>
      <c r="K77" s="32"/>
      <c r="L77" s="34"/>
      <c r="M77" s="34"/>
    </row>
    <row r="78" spans="1:13" ht="18.75" customHeight="1">
      <c r="A78" s="34"/>
      <c r="B78" s="34"/>
      <c r="C78" s="34"/>
      <c r="D78" s="34"/>
      <c r="E78" s="32"/>
      <c r="F78" s="34"/>
      <c r="G78" s="32"/>
      <c r="H78" s="34"/>
      <c r="I78" s="32"/>
      <c r="J78" s="33"/>
      <c r="K78" s="32"/>
      <c r="L78" s="34"/>
      <c r="M78" s="34"/>
    </row>
    <row r="79" spans="1:13" ht="18.75" customHeight="1">
      <c r="A79" s="34"/>
      <c r="B79" s="34"/>
      <c r="C79" s="34"/>
      <c r="D79" s="34"/>
      <c r="E79" s="32"/>
      <c r="F79" s="34"/>
      <c r="G79" s="32"/>
      <c r="H79" s="34"/>
      <c r="I79" s="32"/>
      <c r="J79" s="33"/>
      <c r="K79" s="32"/>
      <c r="L79" s="34"/>
      <c r="M79" s="34"/>
    </row>
    <row r="80" spans="1:13" ht="18.75" customHeight="1">
      <c r="A80" s="34"/>
      <c r="B80" s="34"/>
      <c r="C80" s="34"/>
      <c r="D80" s="34"/>
      <c r="E80" s="32"/>
      <c r="F80" s="34"/>
      <c r="G80" s="32"/>
      <c r="H80" s="34"/>
      <c r="I80" s="32"/>
      <c r="J80" s="33"/>
      <c r="K80" s="32"/>
      <c r="L80" s="34"/>
      <c r="M80" s="34"/>
    </row>
    <row r="81" spans="1:13" ht="18.75" customHeight="1">
      <c r="A81" s="34"/>
      <c r="B81" s="34"/>
      <c r="C81" s="34"/>
      <c r="D81" s="34"/>
      <c r="E81" s="32"/>
      <c r="F81" s="34"/>
      <c r="G81" s="32"/>
      <c r="H81" s="34"/>
      <c r="I81" s="32"/>
      <c r="J81" s="33"/>
      <c r="K81" s="32"/>
      <c r="L81" s="34"/>
      <c r="M81" s="34"/>
    </row>
    <row r="82" spans="1:13" ht="18.75" customHeight="1">
      <c r="A82" s="34"/>
      <c r="B82" s="34"/>
      <c r="C82" s="34"/>
      <c r="D82" s="34"/>
      <c r="E82" s="32"/>
      <c r="F82" s="34"/>
      <c r="G82" s="32"/>
      <c r="H82" s="34"/>
      <c r="I82" s="32"/>
      <c r="J82" s="33"/>
      <c r="K82" s="32"/>
      <c r="L82" s="34"/>
      <c r="M82" s="34"/>
    </row>
    <row r="83" spans="1:13" ht="18.75" customHeight="1">
      <c r="A83" s="34"/>
      <c r="B83" s="34"/>
      <c r="C83" s="34"/>
      <c r="D83" s="34"/>
      <c r="E83" s="32"/>
      <c r="F83" s="34"/>
      <c r="G83" s="32"/>
      <c r="H83" s="34"/>
      <c r="I83" s="32"/>
      <c r="J83" s="33"/>
      <c r="K83" s="32"/>
      <c r="L83" s="34"/>
      <c r="M83" s="34"/>
    </row>
    <row r="84" spans="1:13" ht="18.75" customHeight="1">
      <c r="A84" s="34"/>
      <c r="B84" s="34"/>
      <c r="C84" s="34"/>
      <c r="D84" s="34"/>
      <c r="E84" s="32"/>
      <c r="F84" s="34"/>
      <c r="G84" s="32"/>
      <c r="H84" s="34"/>
      <c r="I84" s="32"/>
      <c r="J84" s="33"/>
      <c r="K84" s="32"/>
      <c r="L84" s="34"/>
      <c r="M84" s="34"/>
    </row>
    <row r="85" spans="1:13" ht="18.75" customHeight="1">
      <c r="A85" s="34"/>
      <c r="B85" s="34"/>
      <c r="C85" s="34"/>
      <c r="D85" s="34"/>
      <c r="E85" s="32"/>
      <c r="F85" s="34"/>
      <c r="G85" s="32"/>
      <c r="H85" s="34"/>
      <c r="I85" s="32"/>
      <c r="J85" s="33"/>
      <c r="K85" s="32"/>
      <c r="L85" s="34"/>
      <c r="M85" s="34"/>
    </row>
    <row r="86" spans="1:13" ht="18.75" customHeight="1">
      <c r="A86" s="34"/>
      <c r="B86" s="34"/>
      <c r="C86" s="34"/>
      <c r="D86" s="34"/>
      <c r="E86" s="32"/>
      <c r="F86" s="34"/>
      <c r="G86" s="32"/>
      <c r="H86" s="34"/>
      <c r="I86" s="32"/>
      <c r="J86" s="33"/>
      <c r="K86" s="32"/>
      <c r="L86" s="34"/>
      <c r="M86" s="34"/>
    </row>
    <row r="87" spans="1:13" ht="18.75" customHeight="1">
      <c r="A87" s="34"/>
      <c r="B87" s="34"/>
      <c r="C87" s="34"/>
      <c r="D87" s="34"/>
      <c r="E87" s="32"/>
      <c r="F87" s="34"/>
      <c r="G87" s="32"/>
      <c r="H87" s="34"/>
      <c r="I87" s="32"/>
      <c r="J87" s="33"/>
      <c r="K87" s="32"/>
      <c r="L87" s="34"/>
      <c r="M87" s="34"/>
    </row>
    <row r="88" spans="1:13" ht="18.75" customHeight="1">
      <c r="A88" s="34"/>
      <c r="B88" s="34"/>
      <c r="C88" s="34"/>
      <c r="D88" s="34"/>
      <c r="E88" s="32"/>
      <c r="F88" s="34"/>
      <c r="G88" s="32"/>
      <c r="H88" s="34"/>
      <c r="I88" s="32"/>
      <c r="J88" s="33"/>
      <c r="K88" s="32"/>
      <c r="L88" s="34"/>
      <c r="M88" s="34"/>
    </row>
    <row r="89" spans="1:13" ht="18.75" customHeight="1">
      <c r="A89" s="34"/>
      <c r="B89" s="34"/>
      <c r="C89" s="34"/>
      <c r="D89" s="34"/>
      <c r="E89" s="32"/>
      <c r="F89" s="34"/>
      <c r="G89" s="32"/>
      <c r="H89" s="34"/>
      <c r="I89" s="32"/>
      <c r="J89" s="33"/>
      <c r="K89" s="32"/>
      <c r="L89" s="34"/>
      <c r="M89" s="34"/>
    </row>
    <row r="90" spans="1:13" ht="18.75" customHeight="1">
      <c r="A90" s="34"/>
      <c r="B90" s="34"/>
      <c r="C90" s="34"/>
      <c r="D90" s="34"/>
      <c r="E90" s="32"/>
      <c r="F90" s="34"/>
      <c r="G90" s="32"/>
      <c r="H90" s="34"/>
      <c r="I90" s="32"/>
      <c r="J90" s="33"/>
      <c r="K90" s="32"/>
      <c r="L90" s="34"/>
      <c r="M90" s="34"/>
    </row>
    <row r="91" spans="1:13" ht="18.75" customHeight="1">
      <c r="A91" s="34"/>
      <c r="B91" s="34"/>
      <c r="C91" s="34"/>
      <c r="D91" s="34"/>
      <c r="E91" s="32"/>
      <c r="F91" s="34"/>
      <c r="G91" s="32"/>
      <c r="H91" s="34"/>
      <c r="I91" s="32"/>
      <c r="J91" s="33"/>
      <c r="K91" s="32"/>
      <c r="L91" s="34"/>
      <c r="M91" s="34"/>
    </row>
    <row r="92" spans="1:13" ht="18.75" customHeight="1">
      <c r="A92" s="34"/>
      <c r="B92" s="34"/>
      <c r="C92" s="34"/>
      <c r="D92" s="34"/>
      <c r="E92" s="32"/>
      <c r="F92" s="34"/>
      <c r="G92" s="32"/>
      <c r="H92" s="34"/>
      <c r="I92" s="32"/>
      <c r="J92" s="33"/>
      <c r="K92" s="32"/>
      <c r="L92" s="34"/>
      <c r="M92" s="34"/>
    </row>
    <row r="93" spans="1:13" ht="18.75" customHeight="1">
      <c r="A93" s="34"/>
      <c r="B93" s="34"/>
      <c r="C93" s="34"/>
      <c r="D93" s="34"/>
      <c r="E93" s="32"/>
      <c r="F93" s="34"/>
      <c r="G93" s="32"/>
      <c r="H93" s="34"/>
      <c r="I93" s="32"/>
      <c r="J93" s="33"/>
      <c r="K93" s="32"/>
      <c r="L93" s="34"/>
      <c r="M93" s="34"/>
    </row>
    <row r="94" spans="1:13" ht="18.75" customHeight="1">
      <c r="A94" s="34"/>
      <c r="B94" s="34"/>
      <c r="C94" s="34"/>
      <c r="D94" s="34"/>
      <c r="E94" s="32"/>
      <c r="F94" s="34"/>
      <c r="G94" s="32"/>
      <c r="H94" s="34"/>
      <c r="I94" s="32"/>
      <c r="J94" s="33"/>
      <c r="K94" s="32"/>
      <c r="L94" s="34"/>
      <c r="M94" s="34"/>
    </row>
    <row r="95" spans="1:13" ht="18.75" customHeight="1">
      <c r="A95" s="34"/>
      <c r="B95" s="34"/>
      <c r="C95" s="34"/>
      <c r="D95" s="34"/>
      <c r="E95" s="32"/>
      <c r="F95" s="34"/>
      <c r="G95" s="32"/>
      <c r="H95" s="34"/>
      <c r="I95" s="32"/>
      <c r="J95" s="33"/>
      <c r="K95" s="32"/>
      <c r="L95" s="34"/>
      <c r="M95" s="34"/>
    </row>
    <row r="96" spans="1:13" ht="18.75" customHeight="1">
      <c r="A96" s="34"/>
      <c r="B96" s="34"/>
      <c r="C96" s="34"/>
      <c r="D96" s="34"/>
      <c r="E96" s="32"/>
      <c r="F96" s="34"/>
      <c r="G96" s="32"/>
      <c r="H96" s="34"/>
      <c r="I96" s="32"/>
      <c r="J96" s="33"/>
      <c r="K96" s="32"/>
      <c r="L96" s="34"/>
      <c r="M96" s="34"/>
    </row>
    <row r="97" spans="1:13" ht="18.75" customHeight="1">
      <c r="A97" s="34"/>
      <c r="B97" s="34"/>
      <c r="C97" s="34"/>
      <c r="D97" s="34"/>
      <c r="E97" s="32"/>
      <c r="F97" s="34"/>
      <c r="G97" s="32"/>
      <c r="H97" s="34"/>
      <c r="I97" s="32"/>
      <c r="J97" s="33"/>
      <c r="K97" s="32"/>
      <c r="L97" s="34"/>
      <c r="M97" s="34"/>
    </row>
    <row r="98" spans="1:13" ht="18.75" customHeight="1">
      <c r="A98" s="34"/>
      <c r="B98" s="34"/>
      <c r="C98" s="34"/>
      <c r="D98" s="34"/>
      <c r="E98" s="32"/>
      <c r="F98" s="34"/>
      <c r="G98" s="32"/>
      <c r="H98" s="34"/>
      <c r="I98" s="32"/>
      <c r="J98" s="33"/>
      <c r="K98" s="32"/>
      <c r="L98" s="34"/>
      <c r="M98" s="34"/>
    </row>
    <row r="99" spans="1:13" ht="18.75" customHeight="1">
      <c r="A99" s="34"/>
      <c r="B99" s="34"/>
      <c r="C99" s="34"/>
      <c r="D99" s="34"/>
      <c r="E99" s="32"/>
      <c r="F99" s="34"/>
      <c r="G99" s="32"/>
      <c r="H99" s="34"/>
      <c r="I99" s="32"/>
      <c r="J99" s="33"/>
      <c r="K99" s="32"/>
      <c r="L99" s="34"/>
      <c r="M99" s="34"/>
    </row>
    <row r="100" spans="1:13" ht="18.75" customHeight="1">
      <c r="A100" s="34"/>
      <c r="B100" s="34"/>
      <c r="C100" s="34"/>
      <c r="D100" s="34"/>
      <c r="E100" s="32"/>
      <c r="F100" s="34"/>
      <c r="G100" s="32"/>
      <c r="H100" s="34"/>
      <c r="I100" s="32"/>
      <c r="J100" s="33"/>
      <c r="K100" s="32"/>
      <c r="L100" s="34"/>
      <c r="M100" s="34"/>
    </row>
    <row r="101" spans="1:13" ht="18.75" customHeight="1">
      <c r="A101" s="34"/>
      <c r="B101" s="34"/>
      <c r="C101" s="34"/>
      <c r="D101" s="34"/>
      <c r="E101" s="32"/>
      <c r="F101" s="34"/>
      <c r="G101" s="32"/>
      <c r="H101" s="34"/>
      <c r="I101" s="32"/>
      <c r="J101" s="33"/>
      <c r="K101" s="32"/>
      <c r="L101" s="34"/>
      <c r="M101" s="34"/>
    </row>
    <row r="102" spans="1:13" ht="18.75" customHeight="1">
      <c r="A102" s="34"/>
      <c r="B102" s="34"/>
      <c r="C102" s="34"/>
      <c r="D102" s="34"/>
      <c r="E102" s="32"/>
      <c r="F102" s="34"/>
      <c r="G102" s="32"/>
      <c r="H102" s="34"/>
      <c r="I102" s="32"/>
      <c r="J102" s="33"/>
      <c r="K102" s="32"/>
      <c r="L102" s="34"/>
      <c r="M102" s="34"/>
    </row>
    <row r="103" spans="1:13" ht="18.75" customHeight="1">
      <c r="A103" s="34"/>
      <c r="B103" s="34"/>
      <c r="C103" s="34"/>
      <c r="D103" s="34"/>
      <c r="E103" s="32"/>
      <c r="F103" s="34"/>
      <c r="G103" s="32"/>
      <c r="H103" s="34"/>
      <c r="I103" s="32"/>
      <c r="J103" s="33"/>
      <c r="K103" s="32"/>
      <c r="L103" s="34"/>
      <c r="M103" s="34"/>
    </row>
    <row r="104" spans="1:13" ht="18.75" customHeight="1">
      <c r="A104" s="34"/>
      <c r="B104" s="34"/>
      <c r="C104" s="34"/>
      <c r="D104" s="34"/>
      <c r="E104" s="32"/>
      <c r="F104" s="34"/>
      <c r="G104" s="32"/>
      <c r="H104" s="34"/>
      <c r="I104" s="32"/>
      <c r="J104" s="33"/>
      <c r="K104" s="32"/>
      <c r="L104" s="34"/>
      <c r="M104" s="34"/>
    </row>
    <row r="105" spans="1:13" ht="18.75" customHeight="1">
      <c r="A105" s="34"/>
      <c r="B105" s="34"/>
      <c r="C105" s="34"/>
      <c r="D105" s="34"/>
      <c r="E105" s="32"/>
      <c r="F105" s="34"/>
      <c r="G105" s="32"/>
      <c r="H105" s="34"/>
      <c r="I105" s="32"/>
      <c r="J105" s="33"/>
      <c r="K105" s="32"/>
      <c r="L105" s="34"/>
      <c r="M105" s="34"/>
    </row>
    <row r="106" spans="1:13" ht="18.75" customHeight="1">
      <c r="A106" s="34"/>
      <c r="B106" s="34"/>
      <c r="C106" s="34"/>
      <c r="D106" s="34"/>
      <c r="E106" s="32"/>
      <c r="F106" s="34"/>
      <c r="G106" s="32"/>
      <c r="H106" s="34"/>
      <c r="I106" s="32"/>
      <c r="J106" s="33"/>
      <c r="K106" s="32"/>
      <c r="L106" s="34"/>
      <c r="M106" s="34"/>
    </row>
    <row r="107" spans="1:13" ht="18.75" customHeight="1">
      <c r="A107" s="34"/>
      <c r="B107" s="34"/>
      <c r="C107" s="34"/>
      <c r="D107" s="34"/>
      <c r="E107" s="32"/>
      <c r="F107" s="34"/>
      <c r="G107" s="32"/>
      <c r="H107" s="34"/>
      <c r="I107" s="32"/>
      <c r="J107" s="33"/>
      <c r="K107" s="32"/>
      <c r="L107" s="34"/>
      <c r="M107" s="34"/>
    </row>
    <row r="108" spans="1:13" ht="18.75" customHeight="1">
      <c r="A108" s="34"/>
      <c r="B108" s="34"/>
      <c r="C108" s="34"/>
      <c r="D108" s="34"/>
      <c r="E108" s="32"/>
      <c r="F108" s="34"/>
      <c r="G108" s="32"/>
      <c r="H108" s="34"/>
      <c r="I108" s="32"/>
      <c r="J108" s="33"/>
      <c r="K108" s="32"/>
      <c r="L108" s="34"/>
      <c r="M108" s="34"/>
    </row>
    <row r="109" spans="1:13" ht="18.75" customHeight="1">
      <c r="A109" s="34"/>
      <c r="B109" s="34"/>
      <c r="C109" s="34"/>
      <c r="D109" s="34"/>
      <c r="E109" s="32"/>
      <c r="F109" s="34"/>
      <c r="G109" s="32"/>
      <c r="H109" s="34"/>
      <c r="I109" s="32"/>
      <c r="J109" s="33"/>
      <c r="K109" s="32"/>
      <c r="L109" s="34"/>
      <c r="M109" s="34"/>
    </row>
    <row r="110" spans="1:13" ht="18.75" customHeight="1">
      <c r="A110" s="34"/>
      <c r="B110" s="34"/>
      <c r="C110" s="34"/>
      <c r="D110" s="34"/>
      <c r="E110" s="32"/>
      <c r="F110" s="34"/>
      <c r="G110" s="32"/>
      <c r="H110" s="34"/>
      <c r="I110" s="32"/>
      <c r="J110" s="33"/>
      <c r="K110" s="32"/>
      <c r="L110" s="34"/>
      <c r="M110" s="34"/>
    </row>
    <row r="111" spans="1:13" ht="18.75" customHeight="1">
      <c r="A111" s="34"/>
      <c r="B111" s="34"/>
      <c r="C111" s="34"/>
      <c r="D111" s="34"/>
      <c r="E111" s="32"/>
      <c r="F111" s="34"/>
      <c r="G111" s="32"/>
      <c r="H111" s="34"/>
      <c r="I111" s="32"/>
      <c r="J111" s="33"/>
      <c r="K111" s="32"/>
      <c r="L111" s="34"/>
      <c r="M111" s="34"/>
    </row>
    <row r="112" spans="1:13" ht="18.75" customHeight="1">
      <c r="A112" s="34"/>
      <c r="B112" s="34"/>
      <c r="C112" s="34"/>
      <c r="D112" s="34"/>
      <c r="E112" s="32"/>
      <c r="F112" s="34"/>
      <c r="G112" s="32"/>
      <c r="H112" s="34"/>
      <c r="I112" s="32"/>
      <c r="J112" s="33"/>
      <c r="K112" s="32"/>
      <c r="L112" s="34"/>
      <c r="M112" s="34"/>
    </row>
    <row r="113" spans="1:13" ht="18.75" customHeight="1">
      <c r="A113" s="34"/>
      <c r="B113" s="34"/>
      <c r="C113" s="34"/>
      <c r="D113" s="34"/>
      <c r="E113" s="32"/>
      <c r="F113" s="34"/>
      <c r="G113" s="32"/>
      <c r="H113" s="34"/>
      <c r="I113" s="32"/>
      <c r="J113" s="33"/>
      <c r="K113" s="32"/>
      <c r="L113" s="34"/>
      <c r="M113" s="34"/>
    </row>
    <row r="114" spans="1:13" ht="18.75" customHeight="1">
      <c r="A114" s="34"/>
      <c r="B114" s="34"/>
      <c r="C114" s="34"/>
      <c r="D114" s="34"/>
      <c r="E114" s="32"/>
      <c r="F114" s="34"/>
      <c r="G114" s="32"/>
      <c r="H114" s="34"/>
      <c r="I114" s="32"/>
      <c r="J114" s="33"/>
      <c r="K114" s="32"/>
      <c r="L114" s="34"/>
      <c r="M114" s="34"/>
    </row>
    <row r="115" spans="1:13" ht="18.75" customHeight="1">
      <c r="A115" s="34"/>
      <c r="B115" s="34"/>
      <c r="C115" s="34"/>
      <c r="D115" s="34"/>
      <c r="E115" s="32"/>
      <c r="F115" s="34"/>
      <c r="G115" s="32"/>
      <c r="H115" s="34"/>
      <c r="I115" s="32"/>
      <c r="J115" s="33"/>
      <c r="K115" s="32"/>
      <c r="L115" s="34"/>
      <c r="M115" s="34"/>
    </row>
    <row r="116" spans="1:13" ht="18.75" customHeight="1">
      <c r="A116" s="34"/>
      <c r="B116" s="34"/>
      <c r="C116" s="34"/>
      <c r="D116" s="34"/>
      <c r="E116" s="32"/>
      <c r="F116" s="34"/>
      <c r="G116" s="32"/>
      <c r="H116" s="34"/>
      <c r="I116" s="32"/>
      <c r="J116" s="33"/>
      <c r="K116" s="32"/>
      <c r="L116" s="34"/>
      <c r="M116" s="34"/>
    </row>
    <row r="117" spans="1:13" ht="18.75" customHeight="1">
      <c r="A117" s="34"/>
      <c r="B117" s="34"/>
      <c r="C117" s="34"/>
      <c r="D117" s="34"/>
      <c r="E117" s="32"/>
      <c r="F117" s="34"/>
      <c r="G117" s="32"/>
      <c r="H117" s="34"/>
      <c r="I117" s="32"/>
      <c r="J117" s="33"/>
      <c r="K117" s="32"/>
      <c r="L117" s="34"/>
      <c r="M117" s="34"/>
    </row>
    <row r="118" spans="1:13" ht="18.75" customHeight="1">
      <c r="A118" s="34"/>
      <c r="B118" s="34"/>
      <c r="C118" s="34"/>
      <c r="D118" s="34"/>
      <c r="E118" s="32"/>
      <c r="F118" s="34"/>
      <c r="G118" s="32"/>
      <c r="H118" s="34"/>
      <c r="I118" s="32"/>
      <c r="J118" s="33"/>
      <c r="K118" s="32"/>
      <c r="L118" s="34"/>
      <c r="M118" s="34"/>
    </row>
    <row r="119" spans="1:13" ht="18.75" customHeight="1">
      <c r="A119" s="34"/>
      <c r="B119" s="34"/>
      <c r="C119" s="34"/>
      <c r="D119" s="34"/>
      <c r="E119" s="32"/>
      <c r="F119" s="34"/>
      <c r="G119" s="32"/>
      <c r="H119" s="34"/>
      <c r="I119" s="32"/>
      <c r="J119" s="33"/>
      <c r="K119" s="32"/>
      <c r="L119" s="34"/>
      <c r="M119" s="34"/>
    </row>
    <row r="120" spans="1:13" ht="18.75" customHeight="1">
      <c r="A120" s="34"/>
      <c r="B120" s="34"/>
      <c r="C120" s="34"/>
      <c r="D120" s="34"/>
      <c r="E120" s="32"/>
      <c r="F120" s="34"/>
      <c r="G120" s="32"/>
      <c r="H120" s="34"/>
      <c r="I120" s="32"/>
      <c r="J120" s="33"/>
      <c r="K120" s="32"/>
      <c r="L120" s="34"/>
      <c r="M120" s="34"/>
    </row>
    <row r="121" spans="1:13" ht="18.75" customHeight="1">
      <c r="A121" s="34"/>
      <c r="B121" s="34"/>
      <c r="C121" s="34"/>
      <c r="D121" s="34"/>
      <c r="E121" s="32"/>
      <c r="F121" s="34"/>
      <c r="G121" s="32"/>
      <c r="H121" s="34"/>
      <c r="I121" s="32"/>
      <c r="J121" s="33"/>
      <c r="K121" s="32"/>
      <c r="L121" s="34"/>
      <c r="M121" s="34"/>
    </row>
    <row r="122" spans="1:13" ht="18.75" customHeight="1">
      <c r="A122" s="34"/>
      <c r="B122" s="34"/>
      <c r="C122" s="34"/>
      <c r="D122" s="34"/>
      <c r="E122" s="32"/>
      <c r="F122" s="34"/>
      <c r="G122" s="32"/>
      <c r="H122" s="34"/>
      <c r="I122" s="32"/>
      <c r="J122" s="33"/>
      <c r="K122" s="32"/>
      <c r="L122" s="34"/>
      <c r="M122" s="34"/>
    </row>
    <row r="123" spans="1:13" ht="18.75" customHeight="1">
      <c r="A123" s="34"/>
      <c r="B123" s="34"/>
      <c r="C123" s="34"/>
      <c r="D123" s="34"/>
      <c r="E123" s="32"/>
      <c r="F123" s="34"/>
      <c r="G123" s="32"/>
      <c r="H123" s="34"/>
      <c r="I123" s="32"/>
      <c r="J123" s="33"/>
      <c r="K123" s="32"/>
      <c r="L123" s="34"/>
      <c r="M123" s="34"/>
    </row>
    <row r="124" spans="1:13" ht="18.75" customHeight="1">
      <c r="A124" s="34"/>
      <c r="B124" s="34"/>
      <c r="C124" s="34"/>
      <c r="D124" s="34"/>
      <c r="E124" s="32"/>
      <c r="F124" s="34"/>
      <c r="G124" s="32"/>
      <c r="H124" s="34"/>
      <c r="I124" s="32"/>
      <c r="J124" s="33"/>
      <c r="K124" s="32"/>
      <c r="L124" s="34"/>
      <c r="M124" s="34"/>
    </row>
    <row r="125" spans="1:13" ht="18.75" customHeight="1">
      <c r="A125" s="34"/>
      <c r="B125" s="34"/>
      <c r="C125" s="34"/>
      <c r="D125" s="34"/>
      <c r="E125" s="32"/>
      <c r="F125" s="34"/>
      <c r="G125" s="32"/>
      <c r="H125" s="34"/>
      <c r="I125" s="32"/>
      <c r="J125" s="33"/>
      <c r="K125" s="32"/>
      <c r="L125" s="34"/>
      <c r="M125" s="34"/>
    </row>
    <row r="126" spans="1:13" ht="18.75" customHeight="1">
      <c r="A126" s="34"/>
      <c r="B126" s="34"/>
      <c r="C126" s="34"/>
      <c r="D126" s="34"/>
      <c r="E126" s="32"/>
      <c r="F126" s="34"/>
      <c r="G126" s="32"/>
      <c r="H126" s="34"/>
      <c r="I126" s="32"/>
      <c r="J126" s="33"/>
      <c r="K126" s="32"/>
      <c r="L126" s="34"/>
      <c r="M126" s="34"/>
    </row>
    <row r="127" spans="1:13" ht="18.75" customHeight="1">
      <c r="A127" s="34"/>
      <c r="B127" s="34"/>
      <c r="C127" s="34"/>
      <c r="D127" s="34"/>
      <c r="E127" s="32"/>
      <c r="F127" s="34"/>
      <c r="G127" s="32"/>
      <c r="H127" s="34"/>
      <c r="I127" s="32"/>
      <c r="J127" s="33"/>
      <c r="K127" s="32"/>
      <c r="L127" s="34"/>
      <c r="M127" s="34"/>
    </row>
    <row r="128" spans="1:13" ht="18.75" customHeight="1">
      <c r="A128" s="34"/>
      <c r="B128" s="34"/>
      <c r="C128" s="34"/>
      <c r="D128" s="34"/>
      <c r="E128" s="32"/>
      <c r="F128" s="34"/>
      <c r="G128" s="32"/>
      <c r="H128" s="34"/>
      <c r="I128" s="32"/>
      <c r="J128" s="33"/>
      <c r="K128" s="32"/>
      <c r="L128" s="34"/>
      <c r="M128" s="34"/>
    </row>
    <row r="129" spans="1:13" ht="18.75" customHeight="1">
      <c r="A129" s="34"/>
      <c r="B129" s="34"/>
      <c r="C129" s="34"/>
      <c r="D129" s="34"/>
      <c r="E129" s="32"/>
      <c r="F129" s="34"/>
      <c r="G129" s="32"/>
      <c r="H129" s="34"/>
      <c r="I129" s="32"/>
      <c r="J129" s="33"/>
      <c r="K129" s="32"/>
      <c r="L129" s="34"/>
      <c r="M129" s="34"/>
    </row>
    <row r="130" spans="1:13" ht="18.75" customHeight="1">
      <c r="A130" s="34"/>
      <c r="B130" s="34"/>
      <c r="C130" s="34"/>
      <c r="D130" s="34"/>
      <c r="E130" s="32"/>
      <c r="F130" s="34"/>
      <c r="G130" s="32"/>
      <c r="H130" s="34"/>
      <c r="I130" s="32"/>
      <c r="J130" s="33"/>
      <c r="K130" s="32"/>
      <c r="L130" s="34"/>
      <c r="M130" s="34"/>
    </row>
    <row r="131" spans="1:13" ht="18.75" customHeight="1">
      <c r="A131" s="34"/>
      <c r="B131" s="34"/>
      <c r="C131" s="34"/>
      <c r="D131" s="34"/>
      <c r="E131" s="32"/>
      <c r="F131" s="34"/>
      <c r="G131" s="32"/>
      <c r="H131" s="34"/>
      <c r="I131" s="32"/>
      <c r="J131" s="33"/>
      <c r="K131" s="32"/>
      <c r="L131" s="34"/>
      <c r="M131" s="34"/>
    </row>
    <row r="132" spans="1:13" ht="18.75" customHeight="1">
      <c r="A132" s="34"/>
      <c r="B132" s="34"/>
      <c r="C132" s="34"/>
      <c r="D132" s="34"/>
      <c r="E132" s="32"/>
      <c r="F132" s="34"/>
      <c r="G132" s="32"/>
      <c r="H132" s="34"/>
      <c r="I132" s="32"/>
      <c r="J132" s="33"/>
      <c r="K132" s="32"/>
      <c r="L132" s="34"/>
      <c r="M132" s="34"/>
    </row>
    <row r="133" spans="1:13" ht="18.75" customHeight="1">
      <c r="A133" s="34"/>
      <c r="B133" s="34"/>
      <c r="C133" s="34"/>
      <c r="D133" s="34"/>
      <c r="E133" s="32"/>
      <c r="F133" s="34"/>
      <c r="G133" s="32"/>
      <c r="H133" s="34"/>
      <c r="I133" s="32"/>
      <c r="J133" s="33"/>
      <c r="K133" s="32"/>
      <c r="L133" s="34"/>
      <c r="M133" s="34"/>
    </row>
    <row r="134" spans="1:13" ht="18.75" customHeight="1">
      <c r="A134" s="34"/>
      <c r="B134" s="34"/>
      <c r="C134" s="34"/>
      <c r="D134" s="34"/>
      <c r="E134" s="32"/>
      <c r="F134" s="34"/>
      <c r="G134" s="32"/>
      <c r="H134" s="34"/>
      <c r="I134" s="32"/>
      <c r="J134" s="33"/>
      <c r="K134" s="32"/>
      <c r="L134" s="34"/>
      <c r="M134" s="34"/>
    </row>
    <row r="135" spans="1:13" ht="18.75" customHeight="1">
      <c r="A135" s="34"/>
      <c r="B135" s="34"/>
      <c r="C135" s="34"/>
      <c r="D135" s="34"/>
      <c r="E135" s="32"/>
      <c r="F135" s="34"/>
      <c r="G135" s="32"/>
      <c r="H135" s="34"/>
      <c r="I135" s="32"/>
      <c r="J135" s="33"/>
      <c r="K135" s="32"/>
      <c r="L135" s="34"/>
      <c r="M135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8" bestFit="1" customWidth="1"/>
    <col min="2" max="2" width="21.42578125" style="26" bestFit="1" customWidth="1"/>
    <col min="3" max="3" width="42.140625" style="27" bestFit="1" customWidth="1"/>
    <col min="4" max="4" width="31.42578125" style="27" bestFit="1" customWidth="1"/>
    <col min="5" max="5" width="30.28515625" style="28" bestFit="1" customWidth="1"/>
    <col min="6" max="6" width="14.28515625" style="26" bestFit="1" customWidth="1"/>
    <col min="7" max="7" width="17.7109375" style="26" bestFit="1" customWidth="1"/>
    <col min="8" max="8" width="19.7109375" style="26" bestFit="1" customWidth="1"/>
    <col min="9" max="9" width="13.7109375" style="26" bestFit="1" customWidth="1"/>
    <col min="10" max="10" width="21.42578125" style="26" bestFit="1" customWidth="1"/>
    <col min="11" max="12" width="13.5703125" style="26" bestFit="1" customWidth="1"/>
    <col min="13" max="15" width="13.5703125" bestFit="1" customWidth="1"/>
  </cols>
  <sheetData>
    <row r="1" spans="1:15" ht="18.75" customHeight="1">
      <c r="A1" s="1" t="s">
        <v>0</v>
      </c>
      <c r="B1" s="1" t="s">
        <v>116</v>
      </c>
      <c r="C1" s="11" t="s">
        <v>117</v>
      </c>
      <c r="D1" s="11" t="s">
        <v>118</v>
      </c>
      <c r="E1" s="12" t="s">
        <v>119</v>
      </c>
      <c r="F1" s="1" t="s">
        <v>120</v>
      </c>
      <c r="G1" s="1" t="s">
        <v>121</v>
      </c>
      <c r="H1" s="13" t="s">
        <v>122</v>
      </c>
      <c r="I1" s="1" t="s">
        <v>123</v>
      </c>
      <c r="J1" s="1" t="s">
        <v>124</v>
      </c>
      <c r="K1" s="1"/>
      <c r="L1" s="1"/>
      <c r="M1" s="1"/>
      <c r="N1" s="1"/>
      <c r="O1" s="1"/>
    </row>
    <row r="2" spans="1:15" ht="18.75" customHeight="1">
      <c r="A2" s="3" t="s">
        <v>6</v>
      </c>
      <c r="B2" s="14" t="s">
        <v>125</v>
      </c>
      <c r="C2" s="15">
        <v>800</v>
      </c>
      <c r="D2" s="15">
        <v>9</v>
      </c>
      <c r="E2" s="16">
        <f>2.06*2.3*4.6</f>
        <v>21.794799999999995</v>
      </c>
      <c r="F2" s="17" t="s">
        <v>126</v>
      </c>
      <c r="G2" s="17" t="s">
        <v>126</v>
      </c>
      <c r="H2" s="18" t="s">
        <v>127</v>
      </c>
      <c r="I2" s="18" t="s">
        <v>127</v>
      </c>
      <c r="J2" s="19" t="s">
        <v>126</v>
      </c>
      <c r="K2" s="19"/>
      <c r="L2" s="19"/>
    </row>
    <row r="3" spans="1:15" ht="18.75" customHeight="1">
      <c r="A3" s="4" t="s">
        <v>9</v>
      </c>
      <c r="B3" s="20" t="s">
        <v>128</v>
      </c>
      <c r="C3" s="15">
        <v>13500</v>
      </c>
      <c r="D3" s="15">
        <v>23</v>
      </c>
      <c r="E3" s="21">
        <f>2.48*2.82*9.6</f>
        <v>67.138559999999998</v>
      </c>
      <c r="F3" s="18" t="s">
        <v>127</v>
      </c>
      <c r="G3" s="17" t="s">
        <v>126</v>
      </c>
      <c r="H3" s="17" t="s">
        <v>126</v>
      </c>
      <c r="I3" s="17" t="s">
        <v>126</v>
      </c>
      <c r="J3" s="19" t="s">
        <v>127</v>
      </c>
      <c r="K3" s="19"/>
      <c r="L3" s="19"/>
    </row>
    <row r="4" spans="1:15" ht="18.75" customHeight="1">
      <c r="A4" s="3" t="s">
        <v>11</v>
      </c>
      <c r="B4" s="14" t="s">
        <v>125</v>
      </c>
      <c r="C4" s="15">
        <v>700</v>
      </c>
      <c r="D4" s="15">
        <v>8</v>
      </c>
      <c r="E4" s="16">
        <f>2.06*2.1*4.2</f>
        <v>18.169200000000004</v>
      </c>
      <c r="F4" s="17" t="s">
        <v>126</v>
      </c>
      <c r="G4" s="18" t="s">
        <v>127</v>
      </c>
      <c r="H4" s="18" t="s">
        <v>127</v>
      </c>
      <c r="I4" s="17" t="s">
        <v>126</v>
      </c>
      <c r="J4" s="19" t="s">
        <v>126</v>
      </c>
      <c r="K4" s="19"/>
      <c r="L4" s="19"/>
    </row>
    <row r="5" spans="1:15" ht="18.75" customHeight="1">
      <c r="A5" s="4" t="s">
        <v>13</v>
      </c>
      <c r="B5" s="20" t="s">
        <v>128</v>
      </c>
      <c r="C5" s="15">
        <v>8000</v>
      </c>
      <c r="D5" s="15">
        <v>20</v>
      </c>
      <c r="E5" s="21">
        <f>2.48*2.8*8.2</f>
        <v>56.940799999999996</v>
      </c>
      <c r="F5" s="18" t="s">
        <v>127</v>
      </c>
      <c r="G5" s="17" t="s">
        <v>126</v>
      </c>
      <c r="H5" s="17" t="s">
        <v>126</v>
      </c>
      <c r="I5" s="17" t="s">
        <v>126</v>
      </c>
      <c r="J5" s="19" t="s">
        <v>127</v>
      </c>
      <c r="K5" s="19"/>
      <c r="L5" s="19"/>
    </row>
    <row r="6" spans="1:15" ht="18.75" customHeight="1">
      <c r="A6" s="5" t="s">
        <v>15</v>
      </c>
      <c r="B6" s="22" t="s">
        <v>125</v>
      </c>
      <c r="C6" s="15">
        <v>800</v>
      </c>
      <c r="D6" s="15">
        <v>4</v>
      </c>
      <c r="E6" s="16">
        <f>1.55*1.65*3.2</f>
        <v>8.1840000000000011</v>
      </c>
      <c r="F6" s="17" t="s">
        <v>126</v>
      </c>
      <c r="G6" s="18" t="s">
        <v>127</v>
      </c>
      <c r="H6" s="18" t="s">
        <v>127</v>
      </c>
      <c r="I6" s="17" t="s">
        <v>126</v>
      </c>
      <c r="J6" s="19" t="s">
        <v>126</v>
      </c>
      <c r="K6" s="19"/>
      <c r="L6" s="19"/>
    </row>
    <row r="7" spans="1:15" ht="18.75" customHeight="1">
      <c r="A7" s="3" t="s">
        <v>17</v>
      </c>
      <c r="B7" s="14" t="s">
        <v>125</v>
      </c>
      <c r="C7" s="15">
        <v>700</v>
      </c>
      <c r="D7" s="15">
        <v>8</v>
      </c>
      <c r="E7" s="16">
        <f>2.06*2.1*4.2</f>
        <v>18.169200000000004</v>
      </c>
      <c r="F7" s="17" t="s">
        <v>126</v>
      </c>
      <c r="G7" s="18" t="s">
        <v>127</v>
      </c>
      <c r="H7" s="18" t="s">
        <v>127</v>
      </c>
      <c r="I7" s="17" t="s">
        <v>126</v>
      </c>
      <c r="J7" s="19" t="s">
        <v>126</v>
      </c>
      <c r="K7" s="19"/>
      <c r="L7" s="19"/>
    </row>
    <row r="8" spans="1:15" ht="18.75" customHeight="1">
      <c r="A8" s="3" t="s">
        <v>21</v>
      </c>
      <c r="B8" s="14" t="s">
        <v>125</v>
      </c>
      <c r="C8" s="15">
        <v>700</v>
      </c>
      <c r="D8" s="15">
        <v>10</v>
      </c>
      <c r="E8" s="16">
        <f>2.06*2.4*4.98</f>
        <v>24.621120000000001</v>
      </c>
      <c r="F8" s="17" t="s">
        <v>126</v>
      </c>
      <c r="G8" s="17" t="s">
        <v>126</v>
      </c>
      <c r="H8" s="18" t="s">
        <v>127</v>
      </c>
      <c r="I8" s="18" t="s">
        <v>127</v>
      </c>
      <c r="J8" s="19" t="s">
        <v>126</v>
      </c>
      <c r="K8" s="19"/>
      <c r="L8" s="19"/>
    </row>
    <row r="9" spans="1:15" ht="18.75" customHeight="1">
      <c r="A9" s="5" t="s">
        <v>23</v>
      </c>
      <c r="B9" s="22" t="s">
        <v>125</v>
      </c>
      <c r="C9" s="15">
        <v>800</v>
      </c>
      <c r="D9" s="15">
        <v>6</v>
      </c>
      <c r="E9" s="16">
        <f>1.6*1.8*4.7</f>
        <v>13.536000000000001</v>
      </c>
      <c r="F9" s="17" t="s">
        <v>126</v>
      </c>
      <c r="G9" s="17" t="s">
        <v>126</v>
      </c>
      <c r="H9" s="18" t="s">
        <v>127</v>
      </c>
      <c r="I9" s="18" t="s">
        <v>127</v>
      </c>
      <c r="J9" s="19" t="s">
        <v>126</v>
      </c>
      <c r="K9" s="19"/>
      <c r="L9" s="19"/>
    </row>
    <row r="10" spans="1:15" ht="18.75" customHeight="1">
      <c r="A10" s="5" t="s">
        <v>25</v>
      </c>
      <c r="B10" s="22" t="s">
        <v>125</v>
      </c>
      <c r="C10" s="15">
        <v>800</v>
      </c>
      <c r="D10" s="15">
        <v>6</v>
      </c>
      <c r="E10" s="16">
        <v>13.536000000000001</v>
      </c>
      <c r="F10" s="17" t="s">
        <v>126</v>
      </c>
      <c r="G10" s="17" t="s">
        <v>126</v>
      </c>
      <c r="H10" s="18" t="s">
        <v>127</v>
      </c>
      <c r="I10" s="18" t="s">
        <v>127</v>
      </c>
      <c r="J10" s="19" t="s">
        <v>126</v>
      </c>
      <c r="K10" s="19"/>
      <c r="L10" s="19"/>
    </row>
    <row r="11" spans="1:15" ht="18.75" customHeight="1">
      <c r="A11" s="3" t="s">
        <v>27</v>
      </c>
      <c r="B11" s="14" t="s">
        <v>125</v>
      </c>
      <c r="C11" s="15">
        <v>700</v>
      </c>
      <c r="D11" s="15">
        <v>10</v>
      </c>
      <c r="E11" s="16">
        <f>2.06*2.4*4.98</f>
        <v>24.621120000000001</v>
      </c>
      <c r="F11" s="17" t="s">
        <v>126</v>
      </c>
      <c r="G11" s="17" t="s">
        <v>126</v>
      </c>
      <c r="H11" s="18" t="s">
        <v>127</v>
      </c>
      <c r="I11" s="18" t="s">
        <v>127</v>
      </c>
      <c r="J11" s="19" t="s">
        <v>126</v>
      </c>
      <c r="K11" s="19"/>
      <c r="L11" s="19"/>
    </row>
    <row r="12" spans="1:15" ht="18.75" customHeight="1">
      <c r="A12" s="4" t="s">
        <v>29</v>
      </c>
      <c r="B12" s="20" t="s">
        <v>128</v>
      </c>
      <c r="C12" s="15">
        <v>2100</v>
      </c>
      <c r="D12" s="15">
        <v>16</v>
      </c>
      <c r="E12" s="21">
        <f>2.48*2.8*6.6</f>
        <v>45.830399999999997</v>
      </c>
      <c r="F12" s="17" t="s">
        <v>126</v>
      </c>
      <c r="G12" s="17" t="s">
        <v>126</v>
      </c>
      <c r="H12" s="17" t="s">
        <v>126</v>
      </c>
      <c r="I12" s="17" t="s">
        <v>126</v>
      </c>
      <c r="J12" s="19" t="s">
        <v>127</v>
      </c>
      <c r="K12" s="19"/>
      <c r="L12" s="19"/>
    </row>
    <row r="13" spans="1:15" ht="18.75" customHeight="1">
      <c r="A13" s="4" t="s">
        <v>31</v>
      </c>
      <c r="B13" s="20" t="s">
        <v>128</v>
      </c>
      <c r="C13" s="15">
        <v>5000</v>
      </c>
      <c r="D13" s="15">
        <v>18</v>
      </c>
      <c r="E13" s="21">
        <f>2.48*2.8*7.6</f>
        <v>52.7744</v>
      </c>
      <c r="F13" s="18" t="s">
        <v>127</v>
      </c>
      <c r="G13" s="17" t="s">
        <v>126</v>
      </c>
      <c r="H13" s="17" t="s">
        <v>126</v>
      </c>
      <c r="I13" s="17" t="s">
        <v>126</v>
      </c>
      <c r="J13" s="19" t="s">
        <v>127</v>
      </c>
      <c r="K13" s="19"/>
      <c r="L13" s="19"/>
    </row>
    <row r="14" spans="1:15" ht="18.75" customHeight="1">
      <c r="A14" s="3" t="s">
        <v>33</v>
      </c>
      <c r="B14" s="14" t="s">
        <v>125</v>
      </c>
      <c r="C14" s="15">
        <v>700</v>
      </c>
      <c r="D14" s="15">
        <v>10</v>
      </c>
      <c r="E14" s="16">
        <f>2.06*2.4*4.98</f>
        <v>24.621120000000001</v>
      </c>
      <c r="F14" s="17" t="s">
        <v>126</v>
      </c>
      <c r="G14" s="17" t="s">
        <v>126</v>
      </c>
      <c r="H14" s="18" t="s">
        <v>127</v>
      </c>
      <c r="I14" s="18" t="s">
        <v>127</v>
      </c>
      <c r="J14" s="19" t="s">
        <v>126</v>
      </c>
      <c r="K14" s="19"/>
      <c r="L14" s="19"/>
    </row>
    <row r="15" spans="1:15" ht="18.75" customHeight="1">
      <c r="A15" s="4" t="s">
        <v>36</v>
      </c>
      <c r="B15" s="20" t="s">
        <v>128</v>
      </c>
      <c r="C15" s="15">
        <v>2100</v>
      </c>
      <c r="D15" s="15">
        <v>16</v>
      </c>
      <c r="E15" s="21">
        <f>2.48*2.8*6.7</f>
        <v>46.524799999999999</v>
      </c>
      <c r="F15" s="17" t="s">
        <v>126</v>
      </c>
      <c r="G15" s="17" t="s">
        <v>126</v>
      </c>
      <c r="H15" s="17" t="s">
        <v>126</v>
      </c>
      <c r="I15" s="17" t="s">
        <v>126</v>
      </c>
      <c r="J15" s="19" t="s">
        <v>127</v>
      </c>
      <c r="K15" s="19"/>
      <c r="L15" s="19"/>
    </row>
    <row r="16" spans="1:15" ht="18.75" customHeight="1">
      <c r="A16" s="4" t="s">
        <v>38</v>
      </c>
      <c r="B16" s="20" t="s">
        <v>128</v>
      </c>
      <c r="C16" s="15">
        <v>8000</v>
      </c>
      <c r="D16" s="15">
        <v>18</v>
      </c>
      <c r="E16" s="21">
        <f>2.48*2.8*7.7</f>
        <v>53.468800000000002</v>
      </c>
      <c r="F16" s="18" t="s">
        <v>127</v>
      </c>
      <c r="G16" s="17" t="s">
        <v>126</v>
      </c>
      <c r="H16" s="17" t="s">
        <v>126</v>
      </c>
      <c r="I16" s="17" t="s">
        <v>126</v>
      </c>
      <c r="J16" s="19" t="s">
        <v>127</v>
      </c>
      <c r="K16" s="19"/>
      <c r="L16" s="19"/>
    </row>
    <row r="17" spans="1:12" ht="18.75" customHeight="1">
      <c r="A17" s="5" t="s">
        <v>40</v>
      </c>
      <c r="B17" s="22" t="s">
        <v>125</v>
      </c>
      <c r="C17" s="15">
        <v>900</v>
      </c>
      <c r="D17" s="15">
        <v>5</v>
      </c>
      <c r="E17" s="16">
        <f>1.6*1.8*4.3</f>
        <v>12.384</v>
      </c>
      <c r="F17" s="17" t="s">
        <v>126</v>
      </c>
      <c r="G17" s="17" t="s">
        <v>126</v>
      </c>
      <c r="H17" s="18" t="s">
        <v>127</v>
      </c>
      <c r="I17" s="18" t="s">
        <v>127</v>
      </c>
      <c r="J17" s="19" t="s">
        <v>126</v>
      </c>
      <c r="K17" s="19"/>
      <c r="L17" s="19"/>
    </row>
    <row r="18" spans="1:12" ht="18.75" customHeight="1">
      <c r="A18" s="5" t="s">
        <v>42</v>
      </c>
      <c r="B18" s="22" t="s">
        <v>125</v>
      </c>
      <c r="C18" s="15">
        <v>800</v>
      </c>
      <c r="D18" s="15">
        <v>6</v>
      </c>
      <c r="E18" s="16">
        <f>1.6*1.8*4.7</f>
        <v>13.536000000000001</v>
      </c>
      <c r="F18" s="17" t="s">
        <v>126</v>
      </c>
      <c r="G18" s="17" t="s">
        <v>126</v>
      </c>
      <c r="H18" s="18" t="s">
        <v>127</v>
      </c>
      <c r="I18" s="18" t="s">
        <v>127</v>
      </c>
      <c r="J18" s="19" t="s">
        <v>126</v>
      </c>
      <c r="K18" s="19"/>
      <c r="L18" s="19"/>
    </row>
    <row r="19" spans="1:12" ht="18.75" customHeight="1">
      <c r="A19" s="4" t="s">
        <v>44</v>
      </c>
      <c r="B19" s="20" t="s">
        <v>128</v>
      </c>
      <c r="C19" s="15">
        <v>8500</v>
      </c>
      <c r="D19" s="15">
        <v>19</v>
      </c>
      <c r="E19" s="21">
        <f>2.48*2.8*7.9</f>
        <v>54.857600000000005</v>
      </c>
      <c r="F19" s="17" t="s">
        <v>126</v>
      </c>
      <c r="G19" s="17" t="s">
        <v>126</v>
      </c>
      <c r="H19" s="17" t="s">
        <v>126</v>
      </c>
      <c r="I19" s="17" t="s">
        <v>126</v>
      </c>
      <c r="J19" s="19" t="s">
        <v>127</v>
      </c>
      <c r="K19" s="19"/>
      <c r="L19" s="19"/>
    </row>
    <row r="20" spans="1:12" ht="18.75" customHeight="1">
      <c r="A20" s="5" t="s">
        <v>46</v>
      </c>
      <c r="B20" s="22" t="s">
        <v>125</v>
      </c>
      <c r="C20" s="15">
        <v>800</v>
      </c>
      <c r="D20" s="15">
        <v>6</v>
      </c>
      <c r="E20" s="16">
        <f>1.6*1.8*4.7</f>
        <v>13.536000000000001</v>
      </c>
      <c r="F20" s="17" t="s">
        <v>126</v>
      </c>
      <c r="G20" s="17" t="s">
        <v>126</v>
      </c>
      <c r="H20" s="18" t="s">
        <v>127</v>
      </c>
      <c r="I20" s="18" t="s">
        <v>127</v>
      </c>
      <c r="J20" s="19" t="s">
        <v>126</v>
      </c>
      <c r="K20" s="19"/>
      <c r="L20" s="19"/>
    </row>
    <row r="21" spans="1:12" ht="18.75" customHeight="1">
      <c r="A21" s="3" t="s">
        <v>48</v>
      </c>
      <c r="B21" s="14" t="s">
        <v>125</v>
      </c>
      <c r="C21" s="15">
        <v>700</v>
      </c>
      <c r="D21" s="15">
        <v>10</v>
      </c>
      <c r="E21" s="16">
        <f>2.06*2.4*4.98</f>
        <v>24.621120000000001</v>
      </c>
      <c r="F21" s="17" t="s">
        <v>126</v>
      </c>
      <c r="G21" s="17" t="s">
        <v>126</v>
      </c>
      <c r="H21" s="18" t="s">
        <v>127</v>
      </c>
      <c r="I21" s="18" t="s">
        <v>127</v>
      </c>
      <c r="J21" s="19" t="s">
        <v>126</v>
      </c>
      <c r="K21" s="19"/>
      <c r="L21" s="19"/>
    </row>
    <row r="22" spans="1:12" ht="18.75" customHeight="1">
      <c r="A22" s="3" t="s">
        <v>50</v>
      </c>
      <c r="B22" s="14" t="s">
        <v>125</v>
      </c>
      <c r="C22" s="15">
        <v>800</v>
      </c>
      <c r="D22" s="15">
        <v>9</v>
      </c>
      <c r="E22" s="21">
        <f>2.2*2.8*4.6</f>
        <v>28.335999999999999</v>
      </c>
      <c r="F22" s="17" t="s">
        <v>126</v>
      </c>
      <c r="G22" s="17" t="s">
        <v>126</v>
      </c>
      <c r="H22" s="17" t="s">
        <v>126</v>
      </c>
      <c r="I22" s="17" t="s">
        <v>126</v>
      </c>
      <c r="J22" s="19" t="s">
        <v>126</v>
      </c>
      <c r="K22" s="19"/>
      <c r="L22" s="19"/>
    </row>
    <row r="23" spans="1:12" ht="18.75" customHeight="1">
      <c r="A23" s="3" t="s">
        <v>52</v>
      </c>
      <c r="B23" s="14" t="s">
        <v>125</v>
      </c>
      <c r="C23" s="15">
        <v>700</v>
      </c>
      <c r="D23" s="15">
        <v>9</v>
      </c>
      <c r="E23" s="16">
        <f>2.06*2.3*4.6</f>
        <v>21.794799999999995</v>
      </c>
      <c r="F23" s="18" t="s">
        <v>127</v>
      </c>
      <c r="G23" s="17" t="s">
        <v>126</v>
      </c>
      <c r="H23" s="18" t="s">
        <v>127</v>
      </c>
      <c r="I23" s="18" t="s">
        <v>127</v>
      </c>
      <c r="J23" s="19" t="s">
        <v>126</v>
      </c>
      <c r="K23" s="19"/>
      <c r="L23" s="19"/>
    </row>
    <row r="24" spans="1:12" ht="18.75" customHeight="1">
      <c r="A24" s="4" t="s">
        <v>54</v>
      </c>
      <c r="B24" s="20" t="s">
        <v>128</v>
      </c>
      <c r="C24" s="15">
        <v>13500</v>
      </c>
      <c r="D24" s="15">
        <v>23</v>
      </c>
      <c r="E24" s="21">
        <f>2.48*2.8*9.6</f>
        <v>66.662399999999991</v>
      </c>
      <c r="F24" s="18" t="s">
        <v>127</v>
      </c>
      <c r="G24" s="17" t="s">
        <v>126</v>
      </c>
      <c r="H24" s="17" t="s">
        <v>126</v>
      </c>
      <c r="I24" s="17" t="s">
        <v>126</v>
      </c>
      <c r="J24" s="19" t="s">
        <v>127</v>
      </c>
      <c r="K24" s="19"/>
      <c r="L24" s="19"/>
    </row>
    <row r="25" spans="1:12" ht="18.75" customHeight="1">
      <c r="A25" s="5" t="s">
        <v>58</v>
      </c>
      <c r="B25" s="22" t="s">
        <v>125</v>
      </c>
      <c r="C25" s="15">
        <v>800</v>
      </c>
      <c r="D25" s="15">
        <v>6</v>
      </c>
      <c r="E25" s="16">
        <f>1.6*1.8*4.7</f>
        <v>13.536000000000001</v>
      </c>
      <c r="F25" s="17" t="s">
        <v>126</v>
      </c>
      <c r="G25" s="17" t="s">
        <v>126</v>
      </c>
      <c r="H25" s="18" t="s">
        <v>127</v>
      </c>
      <c r="I25" s="18" t="s">
        <v>127</v>
      </c>
      <c r="J25" s="19" t="s">
        <v>126</v>
      </c>
      <c r="K25" s="19"/>
      <c r="L25" s="19"/>
    </row>
    <row r="26" spans="1:12" ht="18.75" customHeight="1">
      <c r="A26" s="3" t="s">
        <v>60</v>
      </c>
      <c r="B26" s="14" t="s">
        <v>125</v>
      </c>
      <c r="C26" s="15">
        <v>700</v>
      </c>
      <c r="D26" s="15">
        <v>6</v>
      </c>
      <c r="E26" s="16">
        <f>2.06*2.1*3.2</f>
        <v>13.843200000000003</v>
      </c>
      <c r="F26" s="17" t="s">
        <v>126</v>
      </c>
      <c r="G26" s="18" t="s">
        <v>127</v>
      </c>
      <c r="H26" s="18" t="s">
        <v>127</v>
      </c>
      <c r="I26" s="17" t="s">
        <v>126</v>
      </c>
      <c r="J26" s="19" t="s">
        <v>126</v>
      </c>
      <c r="K26" s="19"/>
      <c r="L26" s="19"/>
    </row>
    <row r="27" spans="1:12" ht="18.75" customHeight="1">
      <c r="A27" s="3" t="s">
        <v>62</v>
      </c>
      <c r="B27" s="14" t="s">
        <v>125</v>
      </c>
      <c r="C27" s="15">
        <v>700</v>
      </c>
      <c r="D27" s="15">
        <v>10</v>
      </c>
      <c r="E27" s="21">
        <f>2.2*2.8*4.97</f>
        <v>30.615199999999998</v>
      </c>
      <c r="F27" s="17" t="s">
        <v>126</v>
      </c>
      <c r="G27" s="17" t="s">
        <v>126</v>
      </c>
      <c r="H27" s="17" t="s">
        <v>126</v>
      </c>
      <c r="I27" s="17" t="s">
        <v>126</v>
      </c>
      <c r="J27" s="19" t="s">
        <v>126</v>
      </c>
      <c r="K27" s="19"/>
      <c r="L27" s="19"/>
    </row>
    <row r="28" spans="1:12" ht="18.75" customHeight="1">
      <c r="A28" s="7" t="s">
        <v>68</v>
      </c>
      <c r="B28" s="23" t="s">
        <v>128</v>
      </c>
      <c r="C28" s="15">
        <v>44000</v>
      </c>
      <c r="D28" s="15">
        <v>38</v>
      </c>
      <c r="E28" s="16">
        <f>2.8*2.48*(7.7+7.7)</f>
        <v>106.9376</v>
      </c>
      <c r="F28" s="19" t="s">
        <v>126</v>
      </c>
      <c r="G28" s="17" t="s">
        <v>126</v>
      </c>
      <c r="H28" s="17" t="s">
        <v>126</v>
      </c>
      <c r="I28" s="17" t="s">
        <v>126</v>
      </c>
      <c r="J28" s="19" t="s">
        <v>127</v>
      </c>
      <c r="K28" s="19"/>
      <c r="L28" s="19"/>
    </row>
    <row r="29" spans="1:12" ht="18.75" customHeight="1">
      <c r="A29" s="5" t="s">
        <v>70</v>
      </c>
      <c r="B29" s="22" t="s">
        <v>125</v>
      </c>
      <c r="C29" s="15">
        <v>1000</v>
      </c>
      <c r="D29" s="15">
        <v>4</v>
      </c>
      <c r="E29" s="16">
        <f>1.6*1.8*3.2</f>
        <v>9.2160000000000011</v>
      </c>
      <c r="F29" s="17" t="s">
        <v>126</v>
      </c>
      <c r="G29" s="17" t="s">
        <v>126</v>
      </c>
      <c r="H29" s="18" t="s">
        <v>127</v>
      </c>
      <c r="I29" s="17" t="s">
        <v>126</v>
      </c>
      <c r="J29" s="19" t="s">
        <v>126</v>
      </c>
      <c r="K29" s="19"/>
      <c r="L29" s="19"/>
    </row>
    <row r="30" spans="1:12" ht="18.75" customHeight="1">
      <c r="A30" s="3" t="s">
        <v>72</v>
      </c>
      <c r="B30" s="14" t="s">
        <v>125</v>
      </c>
      <c r="C30" s="15">
        <v>700</v>
      </c>
      <c r="D30" s="15">
        <v>10</v>
      </c>
      <c r="E30" s="16">
        <f>2.06*2.4*4.98</f>
        <v>24.621120000000001</v>
      </c>
      <c r="F30" s="17" t="s">
        <v>126</v>
      </c>
      <c r="G30" s="17" t="s">
        <v>126</v>
      </c>
      <c r="H30" s="18" t="s">
        <v>127</v>
      </c>
      <c r="I30" s="18" t="s">
        <v>127</v>
      </c>
      <c r="J30" s="19" t="s">
        <v>126</v>
      </c>
      <c r="K30" s="19"/>
      <c r="L30" s="19"/>
    </row>
    <row r="31" spans="1:12" ht="18.75" customHeight="1">
      <c r="A31" s="4" t="s">
        <v>74</v>
      </c>
      <c r="B31" s="20" t="s">
        <v>128</v>
      </c>
      <c r="C31" s="15">
        <v>8000</v>
      </c>
      <c r="D31" s="15">
        <v>20</v>
      </c>
      <c r="E31" s="21">
        <f>2.48*2.8*8.2</f>
        <v>56.940799999999996</v>
      </c>
      <c r="F31" s="18" t="s">
        <v>127</v>
      </c>
      <c r="G31" s="17" t="s">
        <v>126</v>
      </c>
      <c r="H31" s="17" t="s">
        <v>126</v>
      </c>
      <c r="I31" s="17" t="s">
        <v>126</v>
      </c>
      <c r="J31" s="19" t="s">
        <v>127</v>
      </c>
      <c r="K31" s="19"/>
      <c r="L31" s="19"/>
    </row>
    <row r="32" spans="1:12" ht="18.75" customHeight="1">
      <c r="A32" s="3" t="s">
        <v>76</v>
      </c>
      <c r="B32" s="14" t="s">
        <v>125</v>
      </c>
      <c r="C32" s="15">
        <v>700</v>
      </c>
      <c r="D32" s="15">
        <v>10</v>
      </c>
      <c r="E32" s="16">
        <f>2.06*2.4*4.98</f>
        <v>24.621120000000001</v>
      </c>
      <c r="F32" s="17" t="s">
        <v>126</v>
      </c>
      <c r="G32" s="17" t="s">
        <v>126</v>
      </c>
      <c r="H32" s="18" t="s">
        <v>127</v>
      </c>
      <c r="I32" s="18" t="s">
        <v>127</v>
      </c>
      <c r="J32" s="19" t="s">
        <v>126</v>
      </c>
      <c r="K32" s="19"/>
      <c r="L32" s="19"/>
    </row>
    <row r="33" spans="1:12" ht="18.75" customHeight="1">
      <c r="A33" s="3" t="s">
        <v>78</v>
      </c>
      <c r="B33" s="14" t="s">
        <v>125</v>
      </c>
      <c r="C33" s="15">
        <v>700</v>
      </c>
      <c r="D33" s="15">
        <v>10</v>
      </c>
      <c r="E33" s="21">
        <f>2.2*2.8*4.97</f>
        <v>30.615199999999998</v>
      </c>
      <c r="F33" s="17" t="s">
        <v>126</v>
      </c>
      <c r="G33" s="17" t="s">
        <v>126</v>
      </c>
      <c r="H33" s="17" t="s">
        <v>126</v>
      </c>
      <c r="I33" s="17" t="s">
        <v>126</v>
      </c>
      <c r="J33" s="19" t="s">
        <v>126</v>
      </c>
      <c r="K33" s="19"/>
      <c r="L33" s="19"/>
    </row>
    <row r="34" spans="1:12" ht="18.75" customHeight="1">
      <c r="A34" s="3" t="s">
        <v>80</v>
      </c>
      <c r="B34" s="14" t="s">
        <v>125</v>
      </c>
      <c r="C34" s="15">
        <v>700</v>
      </c>
      <c r="D34" s="15">
        <v>10</v>
      </c>
      <c r="E34" s="21">
        <f>2.2*2.8*4.97</f>
        <v>30.615199999999998</v>
      </c>
      <c r="F34" s="17" t="s">
        <v>126</v>
      </c>
      <c r="G34" s="17" t="s">
        <v>126</v>
      </c>
      <c r="H34" s="17" t="s">
        <v>126</v>
      </c>
      <c r="I34" s="17" t="s">
        <v>126</v>
      </c>
      <c r="J34" s="19" t="s">
        <v>126</v>
      </c>
      <c r="K34" s="19"/>
      <c r="L34" s="19"/>
    </row>
    <row r="35" spans="1:12" ht="18.75" customHeight="1">
      <c r="A35" s="3" t="s">
        <v>82</v>
      </c>
      <c r="B35" s="14" t="s">
        <v>125</v>
      </c>
      <c r="C35" s="15">
        <v>700</v>
      </c>
      <c r="D35" s="15">
        <v>10</v>
      </c>
      <c r="E35" s="21">
        <f>2.2*2.8*4.97</f>
        <v>30.615199999999998</v>
      </c>
      <c r="F35" s="18" t="s">
        <v>127</v>
      </c>
      <c r="G35" s="17" t="s">
        <v>126</v>
      </c>
      <c r="H35" s="17" t="s">
        <v>126</v>
      </c>
      <c r="I35" s="17" t="s">
        <v>126</v>
      </c>
      <c r="J35" s="19" t="s">
        <v>126</v>
      </c>
      <c r="K35" s="19"/>
      <c r="L35" s="19"/>
    </row>
    <row r="36" spans="1:12" ht="18.75" customHeight="1">
      <c r="A36" s="3" t="s">
        <v>84</v>
      </c>
      <c r="B36" s="14" t="s">
        <v>125</v>
      </c>
      <c r="C36" s="15">
        <v>800</v>
      </c>
      <c r="D36" s="15">
        <v>9</v>
      </c>
      <c r="E36" s="16">
        <f>2.04*2.3*4.6</f>
        <v>21.583199999999994</v>
      </c>
      <c r="F36" s="17" t="s">
        <v>126</v>
      </c>
      <c r="G36" s="17" t="s">
        <v>126</v>
      </c>
      <c r="H36" s="18" t="s">
        <v>127</v>
      </c>
      <c r="I36" s="18" t="s">
        <v>127</v>
      </c>
      <c r="J36" s="19" t="s">
        <v>126</v>
      </c>
      <c r="K36" s="19"/>
      <c r="L36" s="19"/>
    </row>
    <row r="37" spans="1:12" ht="18.75" customHeight="1">
      <c r="A37" s="3" t="s">
        <v>86</v>
      </c>
      <c r="B37" s="14" t="s">
        <v>125</v>
      </c>
      <c r="C37" s="15">
        <v>700</v>
      </c>
      <c r="D37" s="15">
        <v>8</v>
      </c>
      <c r="E37" s="16">
        <f>2.06*2.1*4.2</f>
        <v>18.169200000000004</v>
      </c>
      <c r="F37" s="18" t="s">
        <v>127</v>
      </c>
      <c r="G37" s="18" t="s">
        <v>127</v>
      </c>
      <c r="H37" s="18" t="s">
        <v>127</v>
      </c>
      <c r="I37" s="17" t="s">
        <v>126</v>
      </c>
      <c r="J37" s="19" t="s">
        <v>126</v>
      </c>
      <c r="K37" s="19"/>
      <c r="L37" s="19"/>
    </row>
    <row r="38" spans="1:12" ht="18.75" customHeight="1">
      <c r="A38" s="3" t="s">
        <v>88</v>
      </c>
      <c r="B38" s="14" t="s">
        <v>125</v>
      </c>
      <c r="C38" s="15">
        <v>700</v>
      </c>
      <c r="D38" s="15">
        <v>10</v>
      </c>
      <c r="E38" s="21">
        <f>2.2*2.8*4.97</f>
        <v>30.615199999999998</v>
      </c>
      <c r="F38" s="18" t="s">
        <v>127</v>
      </c>
      <c r="G38" s="17" t="s">
        <v>126</v>
      </c>
      <c r="H38" s="17" t="s">
        <v>126</v>
      </c>
      <c r="I38" s="17" t="s">
        <v>126</v>
      </c>
      <c r="J38" s="19" t="s">
        <v>126</v>
      </c>
      <c r="K38" s="19"/>
      <c r="L38" s="19"/>
    </row>
    <row r="39" spans="1:12" ht="18.75" customHeight="1">
      <c r="A39" s="3" t="s">
        <v>92</v>
      </c>
      <c r="B39" s="14" t="s">
        <v>125</v>
      </c>
      <c r="C39" s="15">
        <v>700</v>
      </c>
      <c r="D39" s="15">
        <v>10</v>
      </c>
      <c r="E39" s="21">
        <f>2.2*2.8*4.97</f>
        <v>30.615199999999998</v>
      </c>
      <c r="F39" s="18" t="s">
        <v>127</v>
      </c>
      <c r="G39" s="17" t="s">
        <v>126</v>
      </c>
      <c r="H39" s="17" t="s">
        <v>126</v>
      </c>
      <c r="I39" s="17" t="s">
        <v>126</v>
      </c>
      <c r="J39" s="19" t="s">
        <v>126</v>
      </c>
      <c r="K39" s="19"/>
      <c r="L39" s="19"/>
    </row>
    <row r="40" spans="1:12" ht="18.75" customHeight="1">
      <c r="A40" s="3" t="s">
        <v>94</v>
      </c>
      <c r="B40" s="14" t="s">
        <v>125</v>
      </c>
      <c r="C40" s="15">
        <v>700</v>
      </c>
      <c r="D40" s="15">
        <v>10</v>
      </c>
      <c r="E40" s="16">
        <f>2.06*2.4*4.98</f>
        <v>24.621120000000001</v>
      </c>
      <c r="F40" s="17" t="s">
        <v>126</v>
      </c>
      <c r="G40" s="17" t="s">
        <v>126</v>
      </c>
      <c r="H40" s="18" t="s">
        <v>127</v>
      </c>
      <c r="I40" s="18" t="s">
        <v>127</v>
      </c>
      <c r="J40" s="19" t="s">
        <v>126</v>
      </c>
      <c r="K40" s="19"/>
      <c r="L40" s="19"/>
    </row>
    <row r="41" spans="1:12" ht="18.75" customHeight="1">
      <c r="A41" s="3" t="s">
        <v>96</v>
      </c>
      <c r="B41" s="14" t="s">
        <v>125</v>
      </c>
      <c r="C41" s="15">
        <v>700</v>
      </c>
      <c r="D41" s="15">
        <v>8</v>
      </c>
      <c r="E41" s="16">
        <f>2.06*2.1*4.2</f>
        <v>18.169200000000004</v>
      </c>
      <c r="F41" s="17" t="s">
        <v>126</v>
      </c>
      <c r="G41" s="18" t="s">
        <v>127</v>
      </c>
      <c r="H41" s="18" t="s">
        <v>127</v>
      </c>
      <c r="I41" s="17" t="s">
        <v>126</v>
      </c>
      <c r="J41" s="19" t="s">
        <v>126</v>
      </c>
      <c r="K41" s="19"/>
      <c r="L41" s="19"/>
    </row>
    <row r="42" spans="1:12" ht="18.75" customHeight="1">
      <c r="A42" s="3" t="s">
        <v>98</v>
      </c>
      <c r="B42" s="14" t="s">
        <v>125</v>
      </c>
      <c r="C42" s="15">
        <v>700</v>
      </c>
      <c r="D42" s="15">
        <v>10</v>
      </c>
      <c r="E42" s="16">
        <f>2.06*2.4*4.98</f>
        <v>24.621120000000001</v>
      </c>
      <c r="F42" s="17" t="s">
        <v>126</v>
      </c>
      <c r="G42" s="17" t="s">
        <v>126</v>
      </c>
      <c r="H42" s="18" t="s">
        <v>127</v>
      </c>
      <c r="I42" s="18" t="s">
        <v>127</v>
      </c>
      <c r="J42" s="19" t="s">
        <v>126</v>
      </c>
      <c r="K42" s="19"/>
      <c r="L42" s="19"/>
    </row>
    <row r="43" spans="1:12" ht="18.75" customHeight="1">
      <c r="A43" s="3" t="s">
        <v>100</v>
      </c>
      <c r="B43" s="14" t="s">
        <v>125</v>
      </c>
      <c r="C43" s="15">
        <v>700</v>
      </c>
      <c r="D43" s="15">
        <v>8</v>
      </c>
      <c r="E43" s="16">
        <f>2.06*2.1*4.2</f>
        <v>18.169200000000004</v>
      </c>
      <c r="F43" s="17" t="s">
        <v>126</v>
      </c>
      <c r="G43" s="18" t="s">
        <v>127</v>
      </c>
      <c r="H43" s="18" t="s">
        <v>127</v>
      </c>
      <c r="I43" s="17" t="s">
        <v>126</v>
      </c>
      <c r="J43" s="19" t="s">
        <v>126</v>
      </c>
      <c r="K43" s="19"/>
      <c r="L43" s="19"/>
    </row>
    <row r="44" spans="1:12" ht="18.75" customHeight="1">
      <c r="A44" s="3" t="s">
        <v>102</v>
      </c>
      <c r="B44" s="14" t="s">
        <v>125</v>
      </c>
      <c r="C44" s="15">
        <v>700</v>
      </c>
      <c r="D44" s="15">
        <v>10</v>
      </c>
      <c r="E44" s="24">
        <f>2.2*2.8*4.97</f>
        <v>30.615199999999998</v>
      </c>
      <c r="F44" s="17" t="s">
        <v>126</v>
      </c>
      <c r="G44" s="17" t="s">
        <v>126</v>
      </c>
      <c r="H44" s="17" t="s">
        <v>126</v>
      </c>
      <c r="I44" s="17" t="s">
        <v>126</v>
      </c>
      <c r="J44" s="19" t="s">
        <v>126</v>
      </c>
      <c r="K44" s="19"/>
      <c r="L44" s="19"/>
    </row>
    <row r="45" spans="1:12" ht="18.75" customHeight="1">
      <c r="A45" s="5" t="s">
        <v>104</v>
      </c>
      <c r="B45" s="22" t="s">
        <v>125</v>
      </c>
      <c r="C45" s="15">
        <v>800</v>
      </c>
      <c r="D45" s="15">
        <v>4</v>
      </c>
      <c r="E45" s="16">
        <f>1.55*1.65*3.2</f>
        <v>8.1840000000000011</v>
      </c>
      <c r="F45" s="17" t="s">
        <v>126</v>
      </c>
      <c r="G45" s="18" t="s">
        <v>127</v>
      </c>
      <c r="H45" s="18" t="s">
        <v>127</v>
      </c>
      <c r="I45" s="17" t="s">
        <v>126</v>
      </c>
      <c r="J45" s="19" t="s">
        <v>126</v>
      </c>
      <c r="K45" s="19"/>
      <c r="L45" s="19"/>
    </row>
    <row r="46" spans="1:12" ht="18.75" customHeight="1">
      <c r="A46" s="3" t="s">
        <v>106</v>
      </c>
      <c r="B46" s="14" t="s">
        <v>125</v>
      </c>
      <c r="C46" s="15">
        <v>700</v>
      </c>
      <c r="D46" s="15">
        <v>10</v>
      </c>
      <c r="E46" s="16">
        <f>2.06*2.4*4.98</f>
        <v>24.621120000000001</v>
      </c>
      <c r="F46" s="17" t="s">
        <v>126</v>
      </c>
      <c r="G46" s="17" t="s">
        <v>126</v>
      </c>
      <c r="H46" s="18" t="s">
        <v>127</v>
      </c>
      <c r="I46" s="18" t="s">
        <v>127</v>
      </c>
      <c r="J46" s="19" t="s">
        <v>126</v>
      </c>
      <c r="K46" s="19"/>
      <c r="L46" s="19"/>
    </row>
    <row r="47" spans="1:12" ht="18.75" customHeight="1">
      <c r="A47" s="3" t="s">
        <v>108</v>
      </c>
      <c r="B47" s="14" t="s">
        <v>125</v>
      </c>
      <c r="C47" s="15">
        <v>700</v>
      </c>
      <c r="D47" s="15">
        <v>10</v>
      </c>
      <c r="E47" s="21">
        <f>2.2*2.8*4.97</f>
        <v>30.615199999999998</v>
      </c>
      <c r="F47" s="18" t="s">
        <v>127</v>
      </c>
      <c r="G47" s="17" t="s">
        <v>126</v>
      </c>
      <c r="H47" s="17" t="s">
        <v>126</v>
      </c>
      <c r="I47" s="17" t="s">
        <v>126</v>
      </c>
      <c r="J47" s="19" t="s">
        <v>126</v>
      </c>
      <c r="K47" s="19"/>
      <c r="L47" s="19"/>
    </row>
    <row r="48" spans="1:12" ht="18.75" customHeight="1">
      <c r="A48" s="3" t="s">
        <v>110</v>
      </c>
      <c r="B48" s="14" t="s">
        <v>125</v>
      </c>
      <c r="C48" s="15">
        <v>700</v>
      </c>
      <c r="D48" s="15">
        <v>10</v>
      </c>
      <c r="E48" s="21">
        <f>2.2*2.8*4.97</f>
        <v>30.615199999999998</v>
      </c>
      <c r="F48" s="17" t="s">
        <v>126</v>
      </c>
      <c r="G48" s="17" t="s">
        <v>126</v>
      </c>
      <c r="H48" s="17" t="s">
        <v>126</v>
      </c>
      <c r="I48" s="17" t="s">
        <v>126</v>
      </c>
      <c r="J48" s="19" t="s">
        <v>126</v>
      </c>
      <c r="K48" s="19"/>
      <c r="L48" s="19"/>
    </row>
    <row r="49" spans="1:12" ht="18.75" customHeight="1">
      <c r="A49" s="3" t="s">
        <v>112</v>
      </c>
      <c r="B49" s="14" t="s">
        <v>125</v>
      </c>
      <c r="C49" s="15">
        <v>800</v>
      </c>
      <c r="D49" s="15">
        <v>9</v>
      </c>
      <c r="E49" s="21">
        <f>2.2*2.8*4.6</f>
        <v>28.335999999999999</v>
      </c>
      <c r="F49" s="17" t="s">
        <v>126</v>
      </c>
      <c r="G49" s="17" t="s">
        <v>126</v>
      </c>
      <c r="H49" s="17" t="s">
        <v>126</v>
      </c>
      <c r="I49" s="17" t="s">
        <v>126</v>
      </c>
      <c r="J49" s="19" t="s">
        <v>126</v>
      </c>
      <c r="K49" s="19"/>
      <c r="L49" s="19"/>
    </row>
    <row r="50" spans="1:12" ht="18.75" customHeight="1">
      <c r="A50" s="3" t="s">
        <v>114</v>
      </c>
      <c r="B50" s="14" t="s">
        <v>125</v>
      </c>
      <c r="C50" s="15">
        <v>600</v>
      </c>
      <c r="D50" s="15">
        <v>9</v>
      </c>
      <c r="E50" s="16">
        <f>2.06*2.1*4.6</f>
        <v>19.8996</v>
      </c>
      <c r="F50" s="17" t="s">
        <v>126</v>
      </c>
      <c r="G50" s="18" t="s">
        <v>127</v>
      </c>
      <c r="H50" s="18" t="s">
        <v>127</v>
      </c>
      <c r="I50" s="17" t="s">
        <v>126</v>
      </c>
      <c r="J50" s="19" t="s">
        <v>126</v>
      </c>
      <c r="K50" s="19"/>
      <c r="L50" s="19"/>
    </row>
    <row r="51" spans="1:12" ht="18.75" customHeight="1">
      <c r="A51" s="2" t="s">
        <v>3</v>
      </c>
      <c r="B51" s="25" t="s">
        <v>128</v>
      </c>
      <c r="C51" s="15">
        <v>32700</v>
      </c>
      <c r="D51" s="15">
        <v>33</v>
      </c>
      <c r="E51" s="16">
        <f>2.48*2.7*13.6</f>
        <v>91.065600000000003</v>
      </c>
      <c r="F51" s="17" t="s">
        <v>126</v>
      </c>
      <c r="G51" s="17" t="s">
        <v>126</v>
      </c>
      <c r="H51" s="17" t="s">
        <v>126</v>
      </c>
      <c r="I51" s="17" t="s">
        <v>126</v>
      </c>
      <c r="J51" s="19" t="s">
        <v>127</v>
      </c>
      <c r="K51" s="19"/>
      <c r="L51" s="19"/>
    </row>
    <row r="52" spans="1:12" ht="18.75" customHeight="1">
      <c r="A52" s="2" t="s">
        <v>19</v>
      </c>
      <c r="B52" s="25" t="s">
        <v>128</v>
      </c>
      <c r="C52" s="15">
        <v>32000</v>
      </c>
      <c r="D52" s="15">
        <v>33</v>
      </c>
      <c r="E52" s="16">
        <f>2.48*2.7*13.6</f>
        <v>91.065600000000003</v>
      </c>
      <c r="F52" s="18" t="s">
        <v>127</v>
      </c>
      <c r="G52" s="17" t="s">
        <v>126</v>
      </c>
      <c r="H52" s="17" t="s">
        <v>126</v>
      </c>
      <c r="I52" s="17" t="s">
        <v>126</v>
      </c>
      <c r="J52" s="19" t="s">
        <v>127</v>
      </c>
      <c r="K52" s="19"/>
      <c r="L52" s="19"/>
    </row>
    <row r="53" spans="1:12" ht="18.75" customHeight="1">
      <c r="A53" s="2" t="s">
        <v>56</v>
      </c>
      <c r="B53" s="25" t="s">
        <v>128</v>
      </c>
      <c r="C53" s="15">
        <v>32700</v>
      </c>
      <c r="D53" s="15">
        <v>33</v>
      </c>
      <c r="E53" s="16">
        <f>2.48*2.6*13.6</f>
        <v>87.692800000000005</v>
      </c>
      <c r="F53" s="18" t="s">
        <v>127</v>
      </c>
      <c r="G53" s="18" t="s">
        <v>127</v>
      </c>
      <c r="H53" s="18" t="s">
        <v>127</v>
      </c>
      <c r="I53" s="17" t="s">
        <v>126</v>
      </c>
      <c r="J53" s="19" t="s">
        <v>127</v>
      </c>
      <c r="K53" s="19"/>
      <c r="L53" s="19"/>
    </row>
    <row r="54" spans="1:12" ht="18.75" customHeight="1">
      <c r="A54" s="2" t="s">
        <v>64</v>
      </c>
      <c r="B54" s="25" t="s">
        <v>128</v>
      </c>
      <c r="C54" s="15">
        <v>32700</v>
      </c>
      <c r="D54" s="15">
        <v>33</v>
      </c>
      <c r="E54" s="16">
        <f>2.48*2.7*13.6</f>
        <v>91.065600000000003</v>
      </c>
      <c r="F54" s="17" t="s">
        <v>126</v>
      </c>
      <c r="G54" s="17" t="s">
        <v>126</v>
      </c>
      <c r="H54" s="17" t="s">
        <v>126</v>
      </c>
      <c r="I54" s="17" t="s">
        <v>126</v>
      </c>
      <c r="J54" s="19" t="s">
        <v>127</v>
      </c>
      <c r="K54" s="19"/>
      <c r="L54" s="19"/>
    </row>
    <row r="55" spans="1:12" ht="18.75" customHeight="1">
      <c r="A55" s="2" t="s">
        <v>66</v>
      </c>
      <c r="B55" s="25" t="s">
        <v>128</v>
      </c>
      <c r="C55" s="15">
        <v>24300</v>
      </c>
      <c r="D55" s="15">
        <v>27</v>
      </c>
      <c r="E55" s="16">
        <f>2.48*2.7*11</f>
        <v>73.656000000000006</v>
      </c>
      <c r="F55" s="18" t="s">
        <v>127</v>
      </c>
      <c r="G55" s="17" t="s">
        <v>126</v>
      </c>
      <c r="H55" s="17" t="s">
        <v>126</v>
      </c>
      <c r="I55" s="17" t="s">
        <v>126</v>
      </c>
      <c r="J55" s="19" t="s">
        <v>127</v>
      </c>
      <c r="K55" s="19"/>
      <c r="L55" s="19"/>
    </row>
    <row r="56" spans="1:12" ht="18.75" customHeight="1">
      <c r="A56" s="2" t="s">
        <v>90</v>
      </c>
      <c r="B56" s="25" t="s">
        <v>128</v>
      </c>
      <c r="C56" s="15">
        <v>32700</v>
      </c>
      <c r="D56" s="15">
        <v>33</v>
      </c>
      <c r="E56" s="16">
        <f>2.48*2.7*13.6</f>
        <v>91.065600000000003</v>
      </c>
      <c r="F56" s="17" t="s">
        <v>126</v>
      </c>
      <c r="G56" s="17" t="s">
        <v>126</v>
      </c>
      <c r="H56" s="17" t="s">
        <v>126</v>
      </c>
      <c r="I56" s="17" t="s">
        <v>126</v>
      </c>
      <c r="J56" s="19" t="s">
        <v>127</v>
      </c>
      <c r="K56" s="19"/>
      <c r="L5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28515625" style="8" bestFit="1" customWidth="1"/>
    <col min="2" max="2" width="18.42578125" bestFit="1" customWidth="1"/>
    <col min="3" max="3" width="12.140625" bestFit="1" customWidth="1"/>
  </cols>
  <sheetData>
    <row r="1" spans="1:3" ht="18.75" customHeight="1">
      <c r="A1" s="1" t="s">
        <v>0</v>
      </c>
      <c r="B1" s="1" t="s">
        <v>1</v>
      </c>
      <c r="C1" s="1" t="s">
        <v>2</v>
      </c>
    </row>
    <row r="2" spans="1:3" ht="18.75" customHeight="1">
      <c r="A2" s="2" t="s">
        <v>3</v>
      </c>
      <c r="B2" t="s">
        <v>4</v>
      </c>
      <c r="C2" t="s">
        <v>5</v>
      </c>
    </row>
    <row r="3" spans="1:3" ht="18.75" customHeight="1">
      <c r="A3" s="3" t="s">
        <v>6</v>
      </c>
      <c r="B3" t="s">
        <v>7</v>
      </c>
      <c r="C3" t="s">
        <v>8</v>
      </c>
    </row>
    <row r="4" spans="1:3" ht="18.75" customHeight="1">
      <c r="A4" s="4" t="s">
        <v>9</v>
      </c>
      <c r="B4" t="s">
        <v>10</v>
      </c>
      <c r="C4" t="s">
        <v>5</v>
      </c>
    </row>
    <row r="5" spans="1:3" ht="18.75" customHeight="1">
      <c r="A5" s="3" t="s">
        <v>11</v>
      </c>
      <c r="B5" t="s">
        <v>12</v>
      </c>
      <c r="C5" t="s">
        <v>8</v>
      </c>
    </row>
    <row r="6" spans="1:3" ht="18.75" customHeight="1">
      <c r="A6" s="4" t="s">
        <v>13</v>
      </c>
      <c r="B6" t="s">
        <v>14</v>
      </c>
      <c r="C6" t="s">
        <v>5</v>
      </c>
    </row>
    <row r="7" spans="1:3" ht="18.75" customHeight="1">
      <c r="A7" s="5" t="s">
        <v>15</v>
      </c>
      <c r="B7" t="s">
        <v>16</v>
      </c>
      <c r="C7" t="s">
        <v>8</v>
      </c>
    </row>
    <row r="8" spans="1:3" ht="18.75" customHeight="1">
      <c r="A8" s="3" t="s">
        <v>17</v>
      </c>
      <c r="B8" t="s">
        <v>18</v>
      </c>
      <c r="C8" t="s">
        <v>8</v>
      </c>
    </row>
    <row r="9" spans="1:3" ht="18.75" customHeight="1">
      <c r="A9" s="2" t="s">
        <v>19</v>
      </c>
      <c r="B9" t="s">
        <v>20</v>
      </c>
      <c r="C9" t="s">
        <v>5</v>
      </c>
    </row>
    <row r="10" spans="1:3" ht="18.75" customHeight="1">
      <c r="A10" s="3" t="s">
        <v>21</v>
      </c>
      <c r="B10" t="s">
        <v>22</v>
      </c>
      <c r="C10" t="s">
        <v>8</v>
      </c>
    </row>
    <row r="11" spans="1:3" ht="18.75" customHeight="1">
      <c r="A11" s="5" t="s">
        <v>23</v>
      </c>
      <c r="B11" t="s">
        <v>24</v>
      </c>
      <c r="C11" t="s">
        <v>8</v>
      </c>
    </row>
    <row r="12" spans="1:3" ht="18.75" customHeight="1">
      <c r="A12" s="5" t="s">
        <v>25</v>
      </c>
      <c r="B12" t="s">
        <v>26</v>
      </c>
      <c r="C12" t="s">
        <v>8</v>
      </c>
    </row>
    <row r="13" spans="1:3" ht="18.75" customHeight="1">
      <c r="A13" s="3" t="s">
        <v>27</v>
      </c>
      <c r="B13" t="s">
        <v>28</v>
      </c>
      <c r="C13" t="s">
        <v>8</v>
      </c>
    </row>
    <row r="14" spans="1:3" ht="18.75" customHeight="1">
      <c r="A14" s="4" t="s">
        <v>29</v>
      </c>
      <c r="B14" t="s">
        <v>30</v>
      </c>
      <c r="C14" t="s">
        <v>5</v>
      </c>
    </row>
    <row r="15" spans="1:3" ht="18.75" customHeight="1">
      <c r="A15" s="4" t="s">
        <v>31</v>
      </c>
      <c r="B15" t="s">
        <v>32</v>
      </c>
      <c r="C15" t="s">
        <v>5</v>
      </c>
    </row>
    <row r="16" spans="1:3" ht="18.75" customHeight="1">
      <c r="A16" s="3" t="s">
        <v>33</v>
      </c>
      <c r="B16" t="s">
        <v>34</v>
      </c>
      <c r="C16" t="s">
        <v>35</v>
      </c>
    </row>
    <row r="17" spans="1:3" ht="18.75" customHeight="1">
      <c r="A17" s="4" t="s">
        <v>36</v>
      </c>
      <c r="B17" t="s">
        <v>37</v>
      </c>
      <c r="C17" t="s">
        <v>35</v>
      </c>
    </row>
    <row r="18" spans="1:3" ht="18.75" customHeight="1">
      <c r="A18" s="4" t="s">
        <v>38</v>
      </c>
      <c r="B18" t="s">
        <v>39</v>
      </c>
      <c r="C18" t="s">
        <v>5</v>
      </c>
    </row>
    <row r="19" spans="1:3" ht="18.75" customHeight="1">
      <c r="A19" s="5" t="s">
        <v>40</v>
      </c>
      <c r="B19" t="s">
        <v>41</v>
      </c>
      <c r="C19" t="s">
        <v>8</v>
      </c>
    </row>
    <row r="20" spans="1:3" ht="18.75" customHeight="1">
      <c r="A20" s="5" t="s">
        <v>42</v>
      </c>
      <c r="B20" t="s">
        <v>43</v>
      </c>
      <c r="C20" t="s">
        <v>8</v>
      </c>
    </row>
    <row r="21" spans="1:3" ht="18.75" customHeight="1">
      <c r="A21" s="4" t="s">
        <v>44</v>
      </c>
      <c r="B21" t="s">
        <v>45</v>
      </c>
      <c r="C21" t="s">
        <v>35</v>
      </c>
    </row>
    <row r="22" spans="1:3" ht="18.75" customHeight="1">
      <c r="A22" s="5" t="s">
        <v>46</v>
      </c>
      <c r="B22" t="s">
        <v>47</v>
      </c>
      <c r="C22" t="s">
        <v>8</v>
      </c>
    </row>
    <row r="23" spans="1:3" ht="18.75" customHeight="1">
      <c r="A23" s="3" t="s">
        <v>48</v>
      </c>
      <c r="B23" s="6" t="s">
        <v>49</v>
      </c>
      <c r="C23" t="s">
        <v>8</v>
      </c>
    </row>
    <row r="24" spans="1:3" ht="18.75" customHeight="1">
      <c r="A24" s="3" t="s">
        <v>50</v>
      </c>
      <c r="B24" t="s">
        <v>51</v>
      </c>
      <c r="C24" t="s">
        <v>8</v>
      </c>
    </row>
    <row r="25" spans="1:3" ht="18.75" customHeight="1">
      <c r="A25" s="3" t="s">
        <v>52</v>
      </c>
      <c r="B25" s="6" t="s">
        <v>53</v>
      </c>
      <c r="C25" t="s">
        <v>8</v>
      </c>
    </row>
    <row r="26" spans="1:3" ht="18.75" customHeight="1">
      <c r="A26" s="4" t="s">
        <v>54</v>
      </c>
      <c r="B26" t="s">
        <v>55</v>
      </c>
      <c r="C26" t="s">
        <v>5</v>
      </c>
    </row>
    <row r="27" spans="1:3" ht="18.75" customHeight="1">
      <c r="A27" s="2" t="s">
        <v>56</v>
      </c>
      <c r="B27" t="s">
        <v>57</v>
      </c>
      <c r="C27" t="s">
        <v>5</v>
      </c>
    </row>
    <row r="28" spans="1:3" ht="18.75" customHeight="1">
      <c r="A28" s="5" t="s">
        <v>58</v>
      </c>
      <c r="B28" t="s">
        <v>59</v>
      </c>
      <c r="C28" t="s">
        <v>8</v>
      </c>
    </row>
    <row r="29" spans="1:3" ht="18.75" customHeight="1">
      <c r="A29" s="3" t="s">
        <v>60</v>
      </c>
      <c r="B29" t="s">
        <v>61</v>
      </c>
      <c r="C29" t="s">
        <v>8</v>
      </c>
    </row>
    <row r="30" spans="1:3" ht="18.75" customHeight="1">
      <c r="A30" s="3" t="s">
        <v>62</v>
      </c>
      <c r="B30" t="s">
        <v>63</v>
      </c>
      <c r="C30" t="s">
        <v>8</v>
      </c>
    </row>
    <row r="31" spans="1:3" ht="18.75" customHeight="1">
      <c r="A31" s="2" t="s">
        <v>64</v>
      </c>
      <c r="B31" t="s">
        <v>65</v>
      </c>
      <c r="C31" t="s">
        <v>5</v>
      </c>
    </row>
    <row r="32" spans="1:3" ht="18.75" customHeight="1">
      <c r="A32" s="2" t="s">
        <v>66</v>
      </c>
      <c r="B32" t="s">
        <v>67</v>
      </c>
      <c r="C32" t="s">
        <v>5</v>
      </c>
    </row>
    <row r="33" spans="1:3" ht="18.75" customHeight="1">
      <c r="A33" s="7" t="s">
        <v>68</v>
      </c>
      <c r="B33" t="s">
        <v>69</v>
      </c>
      <c r="C33" t="s">
        <v>5</v>
      </c>
    </row>
    <row r="34" spans="1:3" ht="18.75" customHeight="1">
      <c r="A34" s="5" t="s">
        <v>70</v>
      </c>
      <c r="B34" t="s">
        <v>71</v>
      </c>
      <c r="C34" t="s">
        <v>8</v>
      </c>
    </row>
    <row r="35" spans="1:3" ht="18.75" customHeight="1">
      <c r="A35" s="3" t="s">
        <v>72</v>
      </c>
      <c r="B35" t="s">
        <v>73</v>
      </c>
      <c r="C35" t="s">
        <v>8</v>
      </c>
    </row>
    <row r="36" spans="1:3" ht="18.75" customHeight="1">
      <c r="A36" s="4" t="s">
        <v>74</v>
      </c>
      <c r="B36" t="s">
        <v>75</v>
      </c>
      <c r="C36" t="s">
        <v>5</v>
      </c>
    </row>
    <row r="37" spans="1:3" ht="18.75" customHeight="1">
      <c r="A37" s="3" t="s">
        <v>76</v>
      </c>
      <c r="B37" t="s">
        <v>77</v>
      </c>
      <c r="C37" t="s">
        <v>8</v>
      </c>
    </row>
    <row r="38" spans="1:3" ht="18.75" customHeight="1">
      <c r="A38" s="3" t="s">
        <v>78</v>
      </c>
      <c r="B38" t="s">
        <v>79</v>
      </c>
      <c r="C38" t="s">
        <v>8</v>
      </c>
    </row>
    <row r="39" spans="1:3" ht="18.75" customHeight="1">
      <c r="A39" s="3" t="s">
        <v>80</v>
      </c>
      <c r="B39" s="6" t="s">
        <v>81</v>
      </c>
      <c r="C39" t="s">
        <v>8</v>
      </c>
    </row>
    <row r="40" spans="1:3" ht="18.75" customHeight="1">
      <c r="A40" s="3" t="s">
        <v>82</v>
      </c>
      <c r="B40" t="s">
        <v>83</v>
      </c>
      <c r="C40" t="s">
        <v>8</v>
      </c>
    </row>
    <row r="41" spans="1:3" ht="18.75" customHeight="1">
      <c r="A41" s="3" t="s">
        <v>84</v>
      </c>
      <c r="B41" t="s">
        <v>85</v>
      </c>
      <c r="C41" t="s">
        <v>8</v>
      </c>
    </row>
    <row r="42" spans="1:3" ht="18.75" customHeight="1">
      <c r="A42" s="3" t="s">
        <v>86</v>
      </c>
      <c r="B42" s="6" t="s">
        <v>87</v>
      </c>
      <c r="C42" t="s">
        <v>8</v>
      </c>
    </row>
    <row r="43" spans="1:3" ht="18.75" customHeight="1">
      <c r="A43" s="3" t="s">
        <v>88</v>
      </c>
      <c r="B43" t="s">
        <v>89</v>
      </c>
      <c r="C43" t="s">
        <v>8</v>
      </c>
    </row>
    <row r="44" spans="1:3" ht="18.75" customHeight="1">
      <c r="A44" s="2" t="s">
        <v>90</v>
      </c>
      <c r="B44" t="s">
        <v>91</v>
      </c>
      <c r="C44" t="s">
        <v>5</v>
      </c>
    </row>
    <row r="45" spans="1:3" ht="18.75" customHeight="1">
      <c r="A45" s="3" t="s">
        <v>92</v>
      </c>
      <c r="B45" t="s">
        <v>93</v>
      </c>
      <c r="C45" t="s">
        <v>8</v>
      </c>
    </row>
    <row r="46" spans="1:3" ht="18.75" customHeight="1">
      <c r="A46" s="3" t="s">
        <v>94</v>
      </c>
      <c r="B46" t="s">
        <v>95</v>
      </c>
      <c r="C46" t="s">
        <v>8</v>
      </c>
    </row>
    <row r="47" spans="1:3" ht="18.75" customHeight="1">
      <c r="A47" s="3" t="s">
        <v>96</v>
      </c>
      <c r="B47" t="s">
        <v>97</v>
      </c>
      <c r="C47" t="s">
        <v>8</v>
      </c>
    </row>
    <row r="48" spans="1:3" ht="18.75" customHeight="1">
      <c r="A48" s="3" t="s">
        <v>98</v>
      </c>
      <c r="B48" t="s">
        <v>99</v>
      </c>
      <c r="C48" t="s">
        <v>8</v>
      </c>
    </row>
    <row r="49" spans="1:3" ht="18.75" customHeight="1">
      <c r="A49" s="3" t="s">
        <v>100</v>
      </c>
      <c r="B49" t="s">
        <v>101</v>
      </c>
      <c r="C49" t="s">
        <v>8</v>
      </c>
    </row>
    <row r="50" spans="1:3" ht="18.75" customHeight="1">
      <c r="A50" s="3" t="s">
        <v>102</v>
      </c>
      <c r="B50" t="s">
        <v>103</v>
      </c>
      <c r="C50" t="s">
        <v>8</v>
      </c>
    </row>
    <row r="51" spans="1:3" ht="18.75" customHeight="1">
      <c r="A51" s="5" t="s">
        <v>104</v>
      </c>
      <c r="B51" t="s">
        <v>105</v>
      </c>
      <c r="C51" t="s">
        <v>8</v>
      </c>
    </row>
    <row r="52" spans="1:3" ht="18.75" customHeight="1">
      <c r="A52" s="3" t="s">
        <v>106</v>
      </c>
      <c r="B52" t="s">
        <v>107</v>
      </c>
      <c r="C52" t="s">
        <v>8</v>
      </c>
    </row>
    <row r="53" spans="1:3" ht="18.75" customHeight="1">
      <c r="A53" s="3" t="s">
        <v>108</v>
      </c>
      <c r="B53" t="s">
        <v>109</v>
      </c>
      <c r="C53" t="s">
        <v>8</v>
      </c>
    </row>
    <row r="54" spans="1:3" ht="18.75" customHeight="1">
      <c r="A54" s="3" t="s">
        <v>110</v>
      </c>
      <c r="B54" t="s">
        <v>111</v>
      </c>
      <c r="C54" t="s">
        <v>8</v>
      </c>
    </row>
    <row r="55" spans="1:3" ht="18.75" customHeight="1">
      <c r="A55" s="3" t="s">
        <v>112</v>
      </c>
      <c r="B55" t="s">
        <v>113</v>
      </c>
      <c r="C55" t="s">
        <v>8</v>
      </c>
    </row>
    <row r="56" spans="1:3" ht="18.75" customHeight="1">
      <c r="A56" s="3" t="s">
        <v>114</v>
      </c>
      <c r="B56" t="s">
        <v>115</v>
      </c>
      <c r="C56" t="s">
        <v>8</v>
      </c>
    </row>
    <row r="57" spans="1:3" ht="18.75" customHeight="1"/>
    <row r="58" spans="1:3" ht="18.75" customHeight="1"/>
    <row r="59" spans="1:3" ht="18.75" customHeight="1"/>
    <row r="60" spans="1:3" ht="18.75" customHeight="1"/>
    <row r="61" spans="1:3" ht="18.75" customHeight="1"/>
    <row r="62" spans="1:3" ht="18.75" customHeight="1"/>
    <row r="63" spans="1:3" ht="18.75" customHeight="1"/>
    <row r="64" spans="1:3" ht="18.75" customHeight="1"/>
    <row r="65" spans="1:1" ht="18.75" customHeight="1"/>
    <row r="66" spans="1:1" ht="18.75" customHeight="1"/>
    <row r="67" spans="1:1" ht="18.75" customHeight="1">
      <c r="A67" s="9"/>
    </row>
    <row r="68" spans="1:1" ht="18.75" customHeight="1">
      <c r="A6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</cp:lastModifiedBy>
  <dcterms:created xsi:type="dcterms:W3CDTF">2025-07-25T22:32:07Z</dcterms:created>
  <dcterms:modified xsi:type="dcterms:W3CDTF">2025-07-25T22:52:00Z</dcterms:modified>
</cp:coreProperties>
</file>